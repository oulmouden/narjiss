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Lots" sheetId="2" state="visible" r:id="rId2"/>
    <sheet name="Listes" sheetId="3" state="visible" r:id="rId3"/>
  </sheets>
  <definedNames>
    <definedName name="_xlnm._FilterDatabase" localSheetId="1" hidden="1">'Lots'!$A$1:$W$41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0"/>
    </font>
    <font>
      <name val="Arial"/>
      <b val="1"/>
      <color rgb="001F5C3A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5C3A"/>
      <sz val="10"/>
    </font>
    <font>
      <name val="Arial"/>
      <color rgb="00404040"/>
      <sz val="10"/>
    </font>
    <font>
      <name val="Arial"/>
      <b val="1"/>
      <color rgb="008A8A8A"/>
      <sz val="10"/>
    </font>
    <font>
      <name val="Arial"/>
      <b val="1"/>
      <color rgb="00C00000"/>
      <sz val="11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5B7C8D"/>
      </patternFill>
    </fill>
    <fill>
      <patternFill patternType="solid">
        <fgColor rgb="008A8A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inden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 indent="1"/>
    </xf>
    <xf numFmtId="0" fontId="8" fillId="0" borderId="1" applyAlignment="1" pivotButton="0" quotePrefix="0" xfId="0">
      <alignment vertical="center" indent="1"/>
    </xf>
    <xf numFmtId="0" fontId="6" fillId="3" borderId="1" applyAlignment="1" pivotButton="0" quotePrefix="0" xfId="0">
      <alignment vertical="center" indent="1"/>
    </xf>
    <xf numFmtId="0" fontId="9" fillId="3" borderId="1" applyAlignment="1" pivotButton="0" quotePrefix="0" xfId="0">
      <alignment vertical="center" indent="1"/>
    </xf>
    <xf numFmtId="0" fontId="3" fillId="3" borderId="1" applyAlignment="1" pivotButton="0" quotePrefix="0" xfId="0">
      <alignment vertical="center" indent="1"/>
    </xf>
    <xf numFmtId="0" fontId="3" fillId="3" borderId="1" applyAlignment="1" pivotButton="0" quotePrefix="0" xfId="0">
      <alignment vertical="center" wrapText="1" indent="1"/>
    </xf>
    <xf numFmtId="0" fontId="10" fillId="0" borderId="0" pivotButton="0" quotePrefix="0" xfId="0"/>
    <xf numFmtId="0" fontId="3" fillId="4" borderId="0" applyAlignment="1" pivotButton="0" quotePrefix="0" xfId="0">
      <alignment vertical="center" inden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11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dxfs count="5">
    <dxf>
      <font>
        <b val="1"/>
        <color rgb="001F6F55"/>
      </font>
      <fill>
        <patternFill>
          <bgColor rgb="00E4F1EA"/>
        </patternFill>
      </fill>
    </dxf>
    <dxf>
      <font>
        <b val="1"/>
        <color rgb="009E6300"/>
      </font>
      <fill>
        <patternFill>
          <bgColor rgb="00FBEEDA"/>
        </patternFill>
      </fill>
    </dxf>
    <dxf>
      <font>
        <b val="1"/>
        <color rgb="001C5FA8"/>
      </font>
      <fill>
        <patternFill>
          <bgColor rgb="00E3EDF9"/>
        </patternFill>
      </fill>
    </dxf>
    <dxf>
      <font>
        <b val="1"/>
        <color rgb="005A6272"/>
      </font>
      <fill>
        <patternFill>
          <bgColor rgb="00ECEEF1"/>
        </patternFill>
      </fill>
    </dxf>
    <dxf>
      <font>
        <b val="1"/>
        <color rgb="00B02A2A"/>
      </font>
      <fill>
        <patternFill>
          <bgColor rgb="00F7DE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78" customWidth="1" min="4" max="4"/>
  </cols>
  <sheetData>
    <row r="1" ht="30" customHeight="1">
      <c r="A1" s="1" t="inlineStr">
        <is>
          <t>NARJISS IMMOBILIERE - Grille de commercialisation</t>
        </is>
      </c>
    </row>
    <row r="2">
      <c r="A2" s="2" t="inlineStr">
        <is>
          <t>Projet : Residence Al Jawhara (jawhara) - Dcheira El Jihadia, Agadir</t>
        </is>
      </c>
    </row>
    <row r="3">
      <c r="A3" s="3" t="inlineStr"/>
    </row>
    <row r="4">
      <c r="A4" s="4" t="inlineStr">
        <is>
          <t>A QUOI SERT CE FICHIER</t>
        </is>
      </c>
    </row>
    <row r="5">
      <c r="A5" s="3" t="inlineStr">
        <is>
          <t>L'onglet &lt;&lt; Lots &gt;&gt; est la liste des logements et locaux du projet. Il alimente directement le site :</t>
        </is>
      </c>
    </row>
    <row r="6">
      <c r="A6" s="3" t="inlineStr">
        <is>
          <t>le client verra ces lots, leurs filtres (etage, orientation, surface, prix) et leur disponibilite.</t>
        </is>
      </c>
    </row>
    <row r="7">
      <c r="A7" s="3" t="inlineStr">
        <is>
          <t>Le fichier est rempli et tenu a jour par le chef de bureau de vente, puis televerse dans l'admin.</t>
        </is>
      </c>
    </row>
    <row r="8">
      <c r="A8" s="3" t="inlineStr"/>
    </row>
    <row r="9">
      <c r="A9" s="4" t="inlineStr">
        <is>
          <t>COMMENT LE REMPLIR</t>
        </is>
      </c>
    </row>
    <row r="10">
      <c r="A10" s="3" t="inlineStr">
        <is>
          <t>1. Une ligne = un lot. Ne jamais fusionner de cellules, ne pas laisser de ligne vide au milieu.</t>
        </is>
      </c>
    </row>
    <row r="11">
      <c r="A11" s="3" t="inlineStr">
        <is>
          <t>2. Ne pas modifier la ligne d'en-tete (ligne 1 de l'onglet Lots) : l'import se base dessus.</t>
        </is>
      </c>
    </row>
    <row r="12">
      <c r="A12" s="3" t="inlineStr">
        <is>
          <t>3. Les colonnes a fond vert sont OBLIGATOIRES. Celles a fond gris-bleu sont facultatives.</t>
        </is>
      </c>
    </row>
    <row r="13">
      <c r="A13" s="3" t="inlineStr">
        <is>
          <t>4. Les colonnes a fond gris (surface_totale, prix_m2) se calculent toutes seules : ne rien y saisir.</t>
        </is>
      </c>
    </row>
    <row r="14">
      <c r="A14" s="3" t="inlineStr">
        <is>
          <t>5. Les cellules avec une liste deroulante n'acceptent que les valeurs proposees (evite les fautes).</t>
        </is>
      </c>
    </row>
    <row r="15">
      <c r="A15" s="3" t="inlineStr">
        <is>
          <t>6. numero_lot doit etre unique dans le projet : c'est la cle utilisee par l'import pour</t>
        </is>
      </c>
    </row>
    <row r="16">
      <c r="A16" s="3" t="inlineStr">
        <is>
          <t xml:space="preserve">   reconnaitre un lot deja existant et mettre a jour son prix ou son statut sans creer de doublon.</t>
        </is>
      </c>
    </row>
    <row r="17">
      <c r="A17" s="3" t="inlineStr"/>
    </row>
    <row r="18">
      <c r="A18" s="4" t="inlineStr">
        <is>
          <t>LES 40 LIGNES DEJA PRESENTES SONT DES EXEMPLES</t>
        </is>
      </c>
    </row>
    <row r="19">
      <c r="A19" s="3" t="inlineStr">
        <is>
          <t>Elles montrent le format attendu (2 immeubles, RDC + 4 etages, 4 lots par niveau).</t>
        </is>
      </c>
    </row>
    <row r="20">
      <c r="A20" s="3" t="inlineStr">
        <is>
          <t>Les surfaces, prix et statuts sont plausibles mais INVENTES : a remplacer par les vrais chiffres.</t>
        </is>
      </c>
    </row>
    <row r="21">
      <c r="A21" s="3" t="inlineStr"/>
    </row>
    <row r="22">
      <c r="A22" s="4" t="inlineStr">
        <is>
          <t>DICTIONNAIRE DES COLONNES</t>
        </is>
      </c>
    </row>
    <row r="23">
      <c r="A23" s="5" t="inlineStr">
        <is>
          <t>Colonne</t>
        </is>
      </c>
      <c r="B23" s="5" t="inlineStr">
        <is>
          <t>Nature</t>
        </is>
      </c>
      <c r="C23" s="5" t="inlineStr">
        <is>
          <t>Format</t>
        </is>
      </c>
      <c r="D23" s="5" t="inlineStr">
        <is>
          <t>Signification et regle de saisie</t>
        </is>
      </c>
    </row>
    <row r="24">
      <c r="A24" s="6" t="inlineStr">
        <is>
          <t>projet</t>
        </is>
      </c>
      <c r="B24" s="7" t="inlineStr">
        <is>
          <t>obligatoire</t>
        </is>
      </c>
      <c r="C24" s="8" t="inlineStr">
        <is>
          <t>texte</t>
        </is>
      </c>
      <c r="D24" s="9" t="inlineStr">
        <is>
          <t>Identifiant du projet, en minuscules, tel qu'il existe sur le site : jawhara</t>
        </is>
      </c>
    </row>
    <row r="25">
      <c r="A25" s="6" t="inlineStr">
        <is>
          <t>immeuble</t>
        </is>
      </c>
      <c r="B25" s="7" t="inlineStr">
        <is>
          <t>obligatoire</t>
        </is>
      </c>
      <c r="C25" s="8" t="inlineStr">
        <is>
          <t>liste</t>
        </is>
      </c>
      <c r="D25" s="9" t="inlineStr">
        <is>
          <t>Batiment ou tranche. Adapter la liste (onglet Listes) au vrai decoupage du projet.</t>
        </is>
      </c>
    </row>
    <row r="26">
      <c r="A26" s="6" t="inlineStr">
        <is>
          <t>niveau</t>
        </is>
      </c>
      <c r="B26" s="7" t="inlineStr">
        <is>
          <t>obligatoire</t>
        </is>
      </c>
      <c r="C26" s="8" t="inlineStr">
        <is>
          <t>liste</t>
        </is>
      </c>
      <c r="D26" s="9" t="inlineStr">
        <is>
          <t>RDC, 1, 2, 3, 4... Utiliser RDC et non 0, et SS pour un sous-sol.</t>
        </is>
      </c>
    </row>
    <row r="27">
      <c r="A27" s="6" t="inlineStr">
        <is>
          <t>numero_lot</t>
        </is>
      </c>
      <c r="B27" s="7" t="inlineStr">
        <is>
          <t>obligatoire</t>
        </is>
      </c>
      <c r="C27" s="8" t="inlineStr">
        <is>
          <t>texte</t>
        </is>
      </c>
      <c r="D27" s="9" t="inlineStr">
        <is>
          <t>Reference unique du lot. Convention proposee : IMMEUBLE-NIVEAU-POSITION (A-2-03).</t>
        </is>
      </c>
    </row>
    <row r="28">
      <c r="A28" s="6" t="inlineStr">
        <is>
          <t>typologie</t>
        </is>
      </c>
      <c r="B28" s="7" t="inlineStr">
        <is>
          <t>obligatoire</t>
        </is>
      </c>
      <c r="C28" s="8" t="inlineStr">
        <is>
          <t>liste</t>
        </is>
      </c>
      <c r="D28" s="9" t="inlineStr">
        <is>
          <t>Studio, F2, F3, F4, F5, Duplex, Bureau, Commerce.</t>
        </is>
      </c>
    </row>
    <row r="29">
      <c r="A29" s="6" t="inlineStr">
        <is>
          <t>surface_habitable</t>
        </is>
      </c>
      <c r="B29" s="7" t="inlineStr">
        <is>
          <t>obligatoire</t>
        </is>
      </c>
      <c r="C29" s="8" t="inlineStr">
        <is>
          <t>nombre</t>
        </is>
      </c>
      <c r="D29" s="9" t="inlineStr">
        <is>
          <t>En m2, une decimale. Surface interieure hors balcon.</t>
        </is>
      </c>
    </row>
    <row r="30">
      <c r="A30" s="6" t="inlineStr">
        <is>
          <t>surface_balcon</t>
        </is>
      </c>
      <c r="B30" s="10" t="inlineStr">
        <is>
          <t>facultatif</t>
        </is>
      </c>
      <c r="C30" s="8" t="inlineStr">
        <is>
          <t>nombre</t>
        </is>
      </c>
      <c r="D30" s="9" t="inlineStr">
        <is>
          <t>En m2. Mettre 0 si le lot n'a pas de balcon ni de terrasse.</t>
        </is>
      </c>
    </row>
    <row r="31">
      <c r="A31" s="11" t="inlineStr">
        <is>
          <t>surface_totale</t>
        </is>
      </c>
      <c r="B31" s="12" t="inlineStr">
        <is>
          <t>CALCULE</t>
        </is>
      </c>
      <c r="C31" s="13" t="inlineStr">
        <is>
          <t>formule</t>
        </is>
      </c>
      <c r="D31" s="14" t="inlineStr">
        <is>
          <t>surface_habitable + surface_balcon. Ne pas saisir.</t>
        </is>
      </c>
    </row>
    <row r="32">
      <c r="A32" s="6" t="inlineStr">
        <is>
          <t>nb_chambres</t>
        </is>
      </c>
      <c r="B32" s="10" t="inlineStr">
        <is>
          <t>facultatif</t>
        </is>
      </c>
      <c r="C32" s="8" t="inlineStr">
        <is>
          <t>entier</t>
        </is>
      </c>
      <c r="D32" s="9" t="inlineStr">
        <is>
          <t>0 pour un studio, un commerce ou un bureau.</t>
        </is>
      </c>
    </row>
    <row r="33">
      <c r="A33" s="6" t="inlineStr">
        <is>
          <t>nb_sdb</t>
        </is>
      </c>
      <c r="B33" s="10" t="inlineStr">
        <is>
          <t>facultatif</t>
        </is>
      </c>
      <c r="C33" s="8" t="inlineStr">
        <is>
          <t>entier</t>
        </is>
      </c>
      <c r="D33" s="9" t="inlineStr">
        <is>
          <t>Nombre de salles de bain / salles d'eau.</t>
        </is>
      </c>
    </row>
    <row r="34">
      <c r="A34" s="6" t="inlineStr">
        <is>
          <t>orientation</t>
        </is>
      </c>
      <c r="B34" s="7" t="inlineStr">
        <is>
          <t>obligatoire</t>
        </is>
      </c>
      <c r="C34" s="8" t="inlineStr">
        <is>
          <t>liste</t>
        </is>
      </c>
      <c r="D34" s="9" t="inlineStr">
        <is>
          <t>Rue, Cour, Jardin, Double orientation, Angle. C'est un filtre demande par les clients.</t>
        </is>
      </c>
    </row>
    <row r="35">
      <c r="A35" s="6" t="inlineStr">
        <is>
          <t>exposition</t>
        </is>
      </c>
      <c r="B35" s="10" t="inlineStr">
        <is>
          <t>facultatif</t>
        </is>
      </c>
      <c r="C35" s="8" t="inlineStr">
        <is>
          <t>liste</t>
        </is>
      </c>
      <c r="D35" s="9" t="inlineStr">
        <is>
          <t>Point cardinal de la facade principale (ensoleillement).</t>
        </is>
      </c>
    </row>
    <row r="36">
      <c r="A36" s="6" t="inlineStr">
        <is>
          <t>ascenseur</t>
        </is>
      </c>
      <c r="B36" s="10" t="inlineStr">
        <is>
          <t>facultatif</t>
        </is>
      </c>
      <c r="C36" s="8" t="inlineStr">
        <is>
          <t>liste</t>
        </is>
      </c>
      <c r="D36" s="9" t="inlineStr">
        <is>
          <t>Oui / Non. Determinant pour les etages eleves.</t>
        </is>
      </c>
    </row>
    <row r="37">
      <c r="A37" s="6" t="inlineStr">
        <is>
          <t>parking</t>
        </is>
      </c>
      <c r="B37" s="10" t="inlineStr">
        <is>
          <t>facultatif</t>
        </is>
      </c>
      <c r="C37" s="8" t="inlineStr">
        <is>
          <t>liste</t>
        </is>
      </c>
      <c r="D37" s="9" t="inlineStr">
        <is>
          <t>Aucun, Sous-sol, Exterieur, Box.</t>
        </is>
      </c>
    </row>
    <row r="38">
      <c r="A38" s="6" t="inlineStr">
        <is>
          <t>prix_dh</t>
        </is>
      </c>
      <c r="B38" s="7" t="inlineStr">
        <is>
          <t>obligatoire</t>
        </is>
      </c>
      <c r="C38" s="8" t="inlineStr">
        <is>
          <t>nombre</t>
        </is>
      </c>
      <c r="D38" s="9" t="inlineStr">
        <is>
          <t>Prix de vente public en dirhams, sans espace ni symbole. Exemple : 615000</t>
        </is>
      </c>
    </row>
    <row r="39">
      <c r="A39" s="11" t="inlineStr">
        <is>
          <t>prix_m2</t>
        </is>
      </c>
      <c r="B39" s="12" t="inlineStr">
        <is>
          <t>CALCULE</t>
        </is>
      </c>
      <c r="C39" s="13" t="inlineStr">
        <is>
          <t>formule</t>
        </is>
      </c>
      <c r="D39" s="14" t="inlineStr">
        <is>
          <t>prix_dh / surface_habitable. Ne pas saisir. Sert au controle de coherence.</t>
        </is>
      </c>
    </row>
    <row r="40">
      <c r="A40" s="6" t="inlineStr">
        <is>
          <t>statut</t>
        </is>
      </c>
      <c r="B40" s="7" t="inlineStr">
        <is>
          <t>obligatoire</t>
        </is>
      </c>
      <c r="C40" s="8" t="inlineStr">
        <is>
          <t>liste</t>
        </is>
      </c>
      <c r="D40" s="9" t="inlineStr">
        <is>
          <t>Disponible, Optionne, Reserve, Vendu, Bloque. Pilote la couleur affichee au client.</t>
        </is>
      </c>
    </row>
    <row r="41">
      <c r="A41" s="6" t="inlineStr">
        <is>
          <t>date_fin_option</t>
        </is>
      </c>
      <c r="B41" s="10" t="inlineStr">
        <is>
          <t>facultatif</t>
        </is>
      </c>
      <c r="C41" s="8" t="inlineStr">
        <is>
          <t>date</t>
        </is>
      </c>
      <c r="D41" s="9" t="inlineStr">
        <is>
          <t>AAAA-MM-JJ. A remplir seulement si statut = Optionne, pour liberer le lot a l'echeance.</t>
        </is>
      </c>
    </row>
    <row r="42">
      <c r="A42" s="6" t="inlineStr">
        <is>
          <t>plan_fichier</t>
        </is>
      </c>
      <c r="B42" s="10" t="inlineStr">
        <is>
          <t>facultatif</t>
        </is>
      </c>
      <c r="C42" s="8" t="inlineStr">
        <is>
          <t>texte</t>
        </is>
      </c>
      <c r="D42" s="9" t="inlineStr">
        <is>
          <t>Chemin de l'image du plan 2D du lot. Laisser vide si le plan n'est pas encore disponible.</t>
        </is>
      </c>
    </row>
    <row r="43">
      <c r="A43" s="6" t="inlineStr">
        <is>
          <t>notes</t>
        </is>
      </c>
      <c r="B43" s="10" t="inlineStr">
        <is>
          <t>facultatif</t>
        </is>
      </c>
      <c r="C43" s="8" t="inlineStr">
        <is>
          <t>texte</t>
        </is>
      </c>
      <c r="D43" s="9" t="inlineStr">
        <is>
          <t>Argument de vente ou precision interne (terrasse, vue, acces jardin).</t>
        </is>
      </c>
    </row>
    <row r="45">
      <c r="A45" s="15" t="inlineStr">
        <is>
          <t>A CONFIRMER AVANT LE DEVELOPPEMENT</t>
        </is>
      </c>
    </row>
    <row r="46">
      <c r="A46" s="16" t="inlineStr">
        <is>
          <t xml:space="preserve"> -  Combien d'immeubles et de niveaux compte reellement Jawhara ? (le fichier suppose 2 immeubles, RDC + 4 etages)</t>
        </is>
      </c>
    </row>
    <row r="47">
      <c r="A47" s="16" t="inlineStr">
        <is>
          <t xml:space="preserve"> -  L'information &lt;&lt; donnant sur rue / sur cour &gt;&gt; existe-t-elle deja par lot, ou faut-il la deduire du plan de masse ?</t>
        </is>
      </c>
    </row>
    <row r="48">
      <c r="A48" s="16" t="inlineStr">
        <is>
          <t xml:space="preserve"> -  Quels statuts utilisez-vous vraiment au bureau de vente ? Une option a-t-elle une duree fixe ?</t>
        </is>
      </c>
    </row>
    <row r="49">
      <c r="A49" s="16" t="inlineStr">
        <is>
          <t xml:space="preserve"> -  Le prix exact doit-il etre visible du public sur le site, ou seulement une fourchette &lt;&lt; a partir de &gt;&gt; ?</t>
        </is>
      </c>
    </row>
    <row r="50">
      <c r="A50" s="16" t="inlineStr">
        <is>
          <t xml:space="preserve"> -  Faut-il ajouter des colonnes : lot de parking associe, cave, charges mensuelles, orientation de la cuisine ?</t>
        </is>
      </c>
    </row>
  </sheetData>
  <mergeCells count="28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48:D48"/>
    <mergeCell ref="A15:D15"/>
    <mergeCell ref="A11:D11"/>
    <mergeCell ref="A49:D49"/>
    <mergeCell ref="A1:D1"/>
    <mergeCell ref="A45:D45"/>
    <mergeCell ref="A6:D6"/>
    <mergeCell ref="A7:D7"/>
    <mergeCell ref="A16:D16"/>
    <mergeCell ref="A46:D46"/>
    <mergeCell ref="A18:D18"/>
    <mergeCell ref="A12:D12"/>
    <mergeCell ref="A50:D50"/>
    <mergeCell ref="A3:D3"/>
    <mergeCell ref="A21:D21"/>
    <mergeCell ref="A2:D2"/>
    <mergeCell ref="A47:D4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5" customWidth="1" min="8" max="8"/>
    <col width="13" customWidth="1" min="9" max="9"/>
    <col width="9" customWidth="1" min="10" max="10"/>
    <col width="13" customWidth="1" min="11" max="11"/>
    <col width="12" customWidth="1" min="12" max="12"/>
    <col width="11" customWidth="1" min="13" max="13"/>
    <col width="13" customWidth="1" min="14" max="14"/>
    <col width="14" customWidth="1" min="15" max="15"/>
    <col width="12" customWidth="1" min="16" max="16"/>
    <col width="13" customWidth="1" min="17" max="17"/>
    <col width="16" customWidth="1" min="18" max="18"/>
    <col width="26" customWidth="1" min="19" max="19"/>
    <col width="34" customWidth="1" min="20" max="20"/>
    <col width="34" customWidth="1" min="21" max="21"/>
    <col width="34" customWidth="1" min="22" max="22"/>
  </cols>
  <sheetData>
    <row r="1" ht="30" customHeight="1">
      <c r="A1" s="17" t="inlineStr">
        <is>
          <t>projet</t>
        </is>
      </c>
      <c r="B1" s="17" t="inlineStr">
        <is>
          <t>immeuble</t>
        </is>
      </c>
      <c r="C1" s="17" t="inlineStr">
        <is>
          <t>niveau</t>
        </is>
      </c>
      <c r="D1" s="17" t="inlineStr">
        <is>
          <t>numero_lot</t>
        </is>
      </c>
      <c r="E1" s="17" t="inlineStr">
        <is>
          <t>typologie</t>
        </is>
      </c>
      <c r="F1" s="17" t="inlineStr">
        <is>
          <t>surface_habitable</t>
        </is>
      </c>
      <c r="G1" s="18" t="inlineStr">
        <is>
          <t>surface_balcon</t>
        </is>
      </c>
      <c r="H1" s="19" t="inlineStr">
        <is>
          <t>surface_totale</t>
        </is>
      </c>
      <c r="I1" s="18" t="inlineStr">
        <is>
          <t>nb_chambres</t>
        </is>
      </c>
      <c r="J1" s="18" t="inlineStr">
        <is>
          <t>nb_sdb</t>
        </is>
      </c>
      <c r="K1" s="17" t="inlineStr">
        <is>
          <t>orientation</t>
        </is>
      </c>
      <c r="L1" s="18" t="inlineStr">
        <is>
          <t>exposition</t>
        </is>
      </c>
      <c r="M1" s="18" t="inlineStr">
        <is>
          <t>ascenseur</t>
        </is>
      </c>
      <c r="N1" s="18" t="inlineStr">
        <is>
          <t>parking</t>
        </is>
      </c>
      <c r="O1" s="17" t="inlineStr">
        <is>
          <t>prix_dh</t>
        </is>
      </c>
      <c r="P1" s="19" t="inlineStr">
        <is>
          <t>prix_m2</t>
        </is>
      </c>
      <c r="Q1" s="17" t="inlineStr">
        <is>
          <t>statut</t>
        </is>
      </c>
      <c r="R1" s="18" t="inlineStr">
        <is>
          <t>date_fin_option</t>
        </is>
      </c>
      <c r="S1" s="18" t="inlineStr">
        <is>
          <t>plan_fichier</t>
        </is>
      </c>
      <c r="T1" t="inlineStr">
        <is>
          <t>plan_architecte</t>
        </is>
      </c>
      <c r="U1" t="inlineStr">
        <is>
          <t>plan_visuel</t>
        </is>
      </c>
      <c r="V1" t="inlineStr">
        <is>
          <t>visite_360</t>
        </is>
      </c>
      <c r="W1" s="18" t="inlineStr">
        <is>
          <t>notes</t>
        </is>
      </c>
    </row>
    <row r="2">
      <c r="A2" s="20" t="inlineStr">
        <is>
          <t>jawhara</t>
        </is>
      </c>
      <c r="B2" s="20" t="inlineStr">
        <is>
          <t>A</t>
        </is>
      </c>
      <c r="C2" s="20" t="inlineStr">
        <is>
          <t>RDC</t>
        </is>
      </c>
      <c r="D2" s="21" t="inlineStr">
        <is>
          <t>A-RDC-01</t>
        </is>
      </c>
      <c r="E2" s="20" t="inlineStr">
        <is>
          <t>Commerce</t>
        </is>
      </c>
      <c r="F2" s="22" t="n">
        <v>46</v>
      </c>
      <c r="G2" s="22" t="n">
        <v>0</v>
      </c>
      <c r="H2" s="23">
        <f>F2+G2</f>
        <v/>
      </c>
      <c r="I2" s="20" t="n">
        <v>0</v>
      </c>
      <c r="J2" s="20" t="n">
        <v>1</v>
      </c>
      <c r="K2" s="20" t="inlineStr">
        <is>
          <t>Rue</t>
        </is>
      </c>
      <c r="L2" s="20" t="inlineStr">
        <is>
          <t>Sud-Ouest</t>
        </is>
      </c>
      <c r="M2" s="20" t="inlineStr">
        <is>
          <t>Oui</t>
        </is>
      </c>
      <c r="N2" s="20" t="inlineStr">
        <is>
          <t>Aucun</t>
        </is>
      </c>
      <c r="O2" s="24" t="n">
        <v>687000</v>
      </c>
      <c r="P2" s="25">
        <f>IFERROR(O2/F2,"")</f>
        <v/>
      </c>
      <c r="Q2" s="20" t="inlineStr">
        <is>
          <t>Vendu</t>
        </is>
      </c>
      <c r="R2" s="20" t="inlineStr"/>
      <c r="S2" s="26" t="inlineStr"/>
      <c r="W2" s="26" t="inlineStr">
        <is>
          <t>Local d'angle avec vitrine sur la voie principale</t>
        </is>
      </c>
    </row>
    <row r="3">
      <c r="A3" s="20" t="inlineStr">
        <is>
          <t>jawhara</t>
        </is>
      </c>
      <c r="B3" s="20" t="inlineStr">
        <is>
          <t>A</t>
        </is>
      </c>
      <c r="C3" s="20" t="inlineStr">
        <is>
          <t>RDC</t>
        </is>
      </c>
      <c r="D3" s="21" t="inlineStr">
        <is>
          <t>A-RDC-02</t>
        </is>
      </c>
      <c r="E3" s="20" t="inlineStr">
        <is>
          <t>Commerce</t>
        </is>
      </c>
      <c r="F3" s="22" t="n">
        <v>46</v>
      </c>
      <c r="G3" s="22" t="n">
        <v>0</v>
      </c>
      <c r="H3" s="23">
        <f>F3+G3</f>
        <v/>
      </c>
      <c r="I3" s="20" t="n">
        <v>0</v>
      </c>
      <c r="J3" s="20" t="n">
        <v>1</v>
      </c>
      <c r="K3" s="20" t="inlineStr">
        <is>
          <t>Rue</t>
        </is>
      </c>
      <c r="L3" s="20" t="inlineStr">
        <is>
          <t>Sud-Ouest</t>
        </is>
      </c>
      <c r="M3" s="20" t="inlineStr">
        <is>
          <t>Oui</t>
        </is>
      </c>
      <c r="N3" s="20" t="inlineStr">
        <is>
          <t>Aucun</t>
        </is>
      </c>
      <c r="O3" s="24" t="n">
        <v>687000</v>
      </c>
      <c r="P3" s="25">
        <f>IFERROR(O3/F3,"")</f>
        <v/>
      </c>
      <c r="Q3" s="20" t="inlineStr">
        <is>
          <t>Reserve</t>
        </is>
      </c>
      <c r="R3" s="20" t="inlineStr"/>
      <c r="S3" s="26" t="inlineStr"/>
      <c r="W3" s="26" t="inlineStr"/>
    </row>
    <row r="4">
      <c r="A4" s="20" t="inlineStr">
        <is>
          <t>jawhara</t>
        </is>
      </c>
      <c r="B4" s="20" t="inlineStr">
        <is>
          <t>A</t>
        </is>
      </c>
      <c r="C4" s="20" t="inlineStr">
        <is>
          <t>RDC</t>
        </is>
      </c>
      <c r="D4" s="21" t="inlineStr">
        <is>
          <t>A-RDC-03</t>
        </is>
      </c>
      <c r="E4" s="20" t="inlineStr">
        <is>
          <t>F2</t>
        </is>
      </c>
      <c r="F4" s="22" t="n">
        <v>61.5</v>
      </c>
      <c r="G4" s="22" t="n">
        <v>7</v>
      </c>
      <c r="H4" s="23">
        <f>F4+G4</f>
        <v/>
      </c>
      <c r="I4" s="20" t="n">
        <v>1</v>
      </c>
      <c r="J4" s="20" t="n">
        <v>1</v>
      </c>
      <c r="K4" s="20" t="inlineStr">
        <is>
          <t>Jardin</t>
        </is>
      </c>
      <c r="L4" s="20" t="inlineStr">
        <is>
          <t>Nord-Est</t>
        </is>
      </c>
      <c r="M4" s="20" t="inlineStr">
        <is>
          <t>Oui</t>
        </is>
      </c>
      <c r="N4" s="20" t="inlineStr">
        <is>
          <t>Exterieur</t>
        </is>
      </c>
      <c r="O4" s="24" t="n">
        <v>578000</v>
      </c>
      <c r="P4" s="25">
        <f>IFERROR(O4/F4,"")</f>
        <v/>
      </c>
      <c r="Q4" s="20" t="inlineStr">
        <is>
          <t>Vendu</t>
        </is>
      </c>
      <c r="R4" s="20" t="inlineStr"/>
      <c r="S4" s="26" t="inlineStr">
        <is>
          <t>images/projects/jawhara/plans/f2.png</t>
        </is>
      </c>
      <c r="W4" s="26" t="inlineStr"/>
    </row>
    <row r="5">
      <c r="A5" s="20" t="inlineStr">
        <is>
          <t>jawhara</t>
        </is>
      </c>
      <c r="B5" s="20" t="inlineStr">
        <is>
          <t>A</t>
        </is>
      </c>
      <c r="C5" s="20" t="inlineStr">
        <is>
          <t>RDC</t>
        </is>
      </c>
      <c r="D5" s="21" t="inlineStr">
        <is>
          <t>A-RDC-04</t>
        </is>
      </c>
      <c r="E5" s="20" t="inlineStr">
        <is>
          <t>F2</t>
        </is>
      </c>
      <c r="F5" s="22" t="n">
        <v>63</v>
      </c>
      <c r="G5" s="22" t="n">
        <v>7</v>
      </c>
      <c r="H5" s="23">
        <f>F5+G5</f>
        <v/>
      </c>
      <c r="I5" s="20" t="n">
        <v>1</v>
      </c>
      <c r="J5" s="20" t="n">
        <v>1</v>
      </c>
      <c r="K5" s="20" t="inlineStr">
        <is>
          <t>Jardin</t>
        </is>
      </c>
      <c r="L5" s="20" t="inlineStr">
        <is>
          <t>Nord-Est</t>
        </is>
      </c>
      <c r="M5" s="20" t="inlineStr">
        <is>
          <t>Oui</t>
        </is>
      </c>
      <c r="N5" s="20" t="inlineStr">
        <is>
          <t>Exterieur</t>
        </is>
      </c>
      <c r="O5" s="24" t="n">
        <v>592000</v>
      </c>
      <c r="P5" s="25">
        <f>IFERROR(O5/F5,"")</f>
        <v/>
      </c>
      <c r="Q5" s="20" t="inlineStr">
        <is>
          <t>Vendu</t>
        </is>
      </c>
      <c r="R5" s="20" t="inlineStr"/>
      <c r="S5" s="26" t="inlineStr">
        <is>
          <t>images/projects/jawhara/plans/f2.png</t>
        </is>
      </c>
      <c r="W5" s="26" t="inlineStr"/>
    </row>
    <row r="6">
      <c r="A6" s="20" t="inlineStr">
        <is>
          <t>jawhara</t>
        </is>
      </c>
      <c r="B6" s="20" t="inlineStr">
        <is>
          <t>A</t>
        </is>
      </c>
      <c r="C6" s="20" t="inlineStr">
        <is>
          <t>1</t>
        </is>
      </c>
      <c r="D6" s="21" t="inlineStr">
        <is>
          <t>A-1-01</t>
        </is>
      </c>
      <c r="E6" s="20" t="inlineStr">
        <is>
          <t>F3</t>
        </is>
      </c>
      <c r="F6" s="22" t="n">
        <v>84</v>
      </c>
      <c r="G6" s="22" t="n">
        <v>9.5</v>
      </c>
      <c r="H6" s="23">
        <f>F6+G6</f>
        <v/>
      </c>
      <c r="I6" s="20" t="n">
        <v>2</v>
      </c>
      <c r="J6" s="20" t="n">
        <v>2</v>
      </c>
      <c r="K6" s="20" t="inlineStr">
        <is>
          <t>Rue</t>
        </is>
      </c>
      <c r="L6" s="20" t="inlineStr">
        <is>
          <t>Sud-Ouest</t>
        </is>
      </c>
      <c r="M6" s="20" t="inlineStr">
        <is>
          <t>Oui</t>
        </is>
      </c>
      <c r="N6" s="20" t="inlineStr">
        <is>
          <t>Sous-sol</t>
        </is>
      </c>
      <c r="O6" s="24" t="n">
        <v>803000</v>
      </c>
      <c r="P6" s="25">
        <f>IFERROR(O6/F6,"")</f>
        <v/>
      </c>
      <c r="Q6" s="20" t="inlineStr">
        <is>
          <t>Vendu</t>
        </is>
      </c>
      <c r="R6" s="20" t="inlineStr"/>
      <c r="S6" s="26" t="inlineStr">
        <is>
          <t>images/projects/jawhara/plans/f3.png</t>
        </is>
      </c>
      <c r="W6" s="26" t="inlineStr"/>
    </row>
    <row r="7">
      <c r="A7" s="20" t="inlineStr">
        <is>
          <t>jawhara</t>
        </is>
      </c>
      <c r="B7" s="20" t="inlineStr">
        <is>
          <t>A</t>
        </is>
      </c>
      <c r="C7" s="20" t="inlineStr">
        <is>
          <t>1</t>
        </is>
      </c>
      <c r="D7" s="21" t="inlineStr">
        <is>
          <t>A-1-02</t>
        </is>
      </c>
      <c r="E7" s="20" t="inlineStr">
        <is>
          <t>F2</t>
        </is>
      </c>
      <c r="F7" s="22" t="n">
        <v>61.5</v>
      </c>
      <c r="G7" s="22" t="n">
        <v>7</v>
      </c>
      <c r="H7" s="23">
        <f>F7+G7</f>
        <v/>
      </c>
      <c r="I7" s="20" t="n">
        <v>1</v>
      </c>
      <c r="J7" s="20" t="n">
        <v>1</v>
      </c>
      <c r="K7" s="20" t="inlineStr">
        <is>
          <t>Rue</t>
        </is>
      </c>
      <c r="L7" s="20" t="inlineStr">
        <is>
          <t>Sud-Ouest</t>
        </is>
      </c>
      <c r="M7" s="20" t="inlineStr">
        <is>
          <t>Oui</t>
        </is>
      </c>
      <c r="N7" s="20" t="inlineStr">
        <is>
          <t>Sous-sol</t>
        </is>
      </c>
      <c r="O7" s="24" t="n">
        <v>607000</v>
      </c>
      <c r="P7" s="25">
        <f>IFERROR(O7/F7,"")</f>
        <v/>
      </c>
      <c r="Q7" s="20" t="inlineStr">
        <is>
          <t>Optionne</t>
        </is>
      </c>
      <c r="R7" s="20" t="inlineStr">
        <is>
          <t>2026-08-14</t>
        </is>
      </c>
      <c r="S7" s="26" t="inlineStr">
        <is>
          <t>images/projects/jawhara/plans/f2.png</t>
        </is>
      </c>
      <c r="W7" s="26" t="inlineStr"/>
    </row>
    <row r="8">
      <c r="A8" s="20" t="inlineStr">
        <is>
          <t>jawhara</t>
        </is>
      </c>
      <c r="B8" s="20" t="inlineStr">
        <is>
          <t>A</t>
        </is>
      </c>
      <c r="C8" s="20" t="inlineStr">
        <is>
          <t>1</t>
        </is>
      </c>
      <c r="D8" s="21" t="inlineStr">
        <is>
          <t>A-1-03</t>
        </is>
      </c>
      <c r="E8" s="20" t="inlineStr">
        <is>
          <t>F3</t>
        </is>
      </c>
      <c r="F8" s="22" t="n">
        <v>84</v>
      </c>
      <c r="G8" s="22" t="n">
        <v>9.5</v>
      </c>
      <c r="H8" s="23">
        <f>F8+G8</f>
        <v/>
      </c>
      <c r="I8" s="20" t="n">
        <v>2</v>
      </c>
      <c r="J8" s="20" t="n">
        <v>2</v>
      </c>
      <c r="K8" s="20" t="inlineStr">
        <is>
          <t>Cour</t>
        </is>
      </c>
      <c r="L8" s="20" t="inlineStr">
        <is>
          <t>Nord-Est</t>
        </is>
      </c>
      <c r="M8" s="20" t="inlineStr">
        <is>
          <t>Oui</t>
        </is>
      </c>
      <c r="N8" s="20" t="inlineStr">
        <is>
          <t>Sous-sol</t>
        </is>
      </c>
      <c r="O8" s="24" t="n">
        <v>780000</v>
      </c>
      <c r="P8" s="25">
        <f>IFERROR(O8/F8,"")</f>
        <v/>
      </c>
      <c r="Q8" s="20" t="inlineStr">
        <is>
          <t>Vendu</t>
        </is>
      </c>
      <c r="R8" s="20" t="inlineStr"/>
      <c r="S8" s="26" t="inlineStr">
        <is>
          <t>images/projects/jawhara/plans/f3.png</t>
        </is>
      </c>
      <c r="W8" s="26" t="inlineStr"/>
    </row>
    <row r="9">
      <c r="A9" s="20" t="inlineStr">
        <is>
          <t>jawhara</t>
        </is>
      </c>
      <c r="B9" s="20" t="inlineStr">
        <is>
          <t>A</t>
        </is>
      </c>
      <c r="C9" s="20" t="inlineStr">
        <is>
          <t>1</t>
        </is>
      </c>
      <c r="D9" s="21" t="inlineStr">
        <is>
          <t>A-1-04</t>
        </is>
      </c>
      <c r="E9" s="20" t="inlineStr">
        <is>
          <t>F4</t>
        </is>
      </c>
      <c r="F9" s="22" t="n">
        <v>109.5</v>
      </c>
      <c r="G9" s="22" t="n">
        <v>12</v>
      </c>
      <c r="H9" s="23">
        <f>F9+G9</f>
        <v/>
      </c>
      <c r="I9" s="20" t="n">
        <v>3</v>
      </c>
      <c r="J9" s="20" t="n">
        <v>2</v>
      </c>
      <c r="K9" s="20" t="inlineStr">
        <is>
          <t>Cour</t>
        </is>
      </c>
      <c r="L9" s="20" t="inlineStr">
        <is>
          <t>Nord-Est</t>
        </is>
      </c>
      <c r="M9" s="20" t="inlineStr">
        <is>
          <t>Oui</t>
        </is>
      </c>
      <c r="N9" s="20" t="inlineStr">
        <is>
          <t>Sous-sol</t>
        </is>
      </c>
      <c r="O9" s="24" t="n">
        <v>994000</v>
      </c>
      <c r="P9" s="25">
        <f>IFERROR(O9/F9,"")</f>
        <v/>
      </c>
      <c r="Q9" s="20" t="inlineStr">
        <is>
          <t>Disponible</t>
        </is>
      </c>
      <c r="R9" s="20" t="inlineStr"/>
      <c r="S9" s="26" t="inlineStr">
        <is>
          <t>images/projects/jawhara/plans/f4.png</t>
        </is>
      </c>
      <c r="W9" s="26" t="inlineStr"/>
    </row>
    <row r="10">
      <c r="A10" s="20" t="inlineStr">
        <is>
          <t>jawhara</t>
        </is>
      </c>
      <c r="B10" s="20" t="inlineStr">
        <is>
          <t>A</t>
        </is>
      </c>
      <c r="C10" s="20" t="inlineStr">
        <is>
          <t>2</t>
        </is>
      </c>
      <c r="D10" s="21" t="inlineStr">
        <is>
          <t>A-2-01</t>
        </is>
      </c>
      <c r="E10" s="20" t="inlineStr">
        <is>
          <t>F3</t>
        </is>
      </c>
      <c r="F10" s="22" t="n">
        <v>84</v>
      </c>
      <c r="G10" s="22" t="n">
        <v>9.5</v>
      </c>
      <c r="H10" s="23">
        <f>F10+G10</f>
        <v/>
      </c>
      <c r="I10" s="20" t="n">
        <v>2</v>
      </c>
      <c r="J10" s="20" t="n">
        <v>2</v>
      </c>
      <c r="K10" s="20" t="inlineStr">
        <is>
          <t>Rue</t>
        </is>
      </c>
      <c r="L10" s="20" t="inlineStr">
        <is>
          <t>Sud-Ouest</t>
        </is>
      </c>
      <c r="M10" s="20" t="inlineStr">
        <is>
          <t>Oui</t>
        </is>
      </c>
      <c r="N10" s="20" t="inlineStr">
        <is>
          <t>Sous-sol</t>
        </is>
      </c>
      <c r="O10" s="24" t="n">
        <v>819000</v>
      </c>
      <c r="P10" s="25">
        <f>IFERROR(O10/F10,"")</f>
        <v/>
      </c>
      <c r="Q10" s="20" t="inlineStr">
        <is>
          <t>Reserve</t>
        </is>
      </c>
      <c r="R10" s="20" t="inlineStr"/>
      <c r="S10" s="26" t="inlineStr">
        <is>
          <t>images/projects/jawhara/plans/f3.png</t>
        </is>
      </c>
      <c r="W10" s="26" t="inlineStr"/>
    </row>
    <row r="11">
      <c r="A11" s="20" t="inlineStr">
        <is>
          <t>jawhara</t>
        </is>
      </c>
      <c r="B11" s="20" t="inlineStr">
        <is>
          <t>A</t>
        </is>
      </c>
      <c r="C11" s="20" t="inlineStr">
        <is>
          <t>2</t>
        </is>
      </c>
      <c r="D11" s="21" t="inlineStr">
        <is>
          <t>A-2-02</t>
        </is>
      </c>
      <c r="E11" s="20" t="inlineStr">
        <is>
          <t>F2</t>
        </is>
      </c>
      <c r="F11" s="22" t="n">
        <v>61.5</v>
      </c>
      <c r="G11" s="22" t="n">
        <v>7</v>
      </c>
      <c r="H11" s="23">
        <f>F11+G11</f>
        <v/>
      </c>
      <c r="I11" s="20" t="n">
        <v>1</v>
      </c>
      <c r="J11" s="20" t="n">
        <v>1</v>
      </c>
      <c r="K11" s="20" t="inlineStr">
        <is>
          <t>Rue</t>
        </is>
      </c>
      <c r="L11" s="20" t="inlineStr">
        <is>
          <t>Sud-Ouest</t>
        </is>
      </c>
      <c r="M11" s="20" t="inlineStr">
        <is>
          <t>Oui</t>
        </is>
      </c>
      <c r="N11" s="20" t="inlineStr">
        <is>
          <t>Sous-sol</t>
        </is>
      </c>
      <c r="O11" s="24" t="n">
        <v>619000</v>
      </c>
      <c r="P11" s="25">
        <f>IFERROR(O11/F11,"")</f>
        <v/>
      </c>
      <c r="Q11" s="20" t="inlineStr">
        <is>
          <t>Disponible</t>
        </is>
      </c>
      <c r="R11" s="20" t="inlineStr"/>
      <c r="S11" s="26" t="inlineStr">
        <is>
          <t>images/projects/jawhara/plans/f2.png</t>
        </is>
      </c>
      <c r="W11" s="26" t="inlineStr"/>
    </row>
    <row r="12">
      <c r="A12" s="20" t="inlineStr">
        <is>
          <t>jawhara</t>
        </is>
      </c>
      <c r="B12" s="20" t="inlineStr">
        <is>
          <t>A</t>
        </is>
      </c>
      <c r="C12" s="20" t="inlineStr">
        <is>
          <t>2</t>
        </is>
      </c>
      <c r="D12" s="21" t="inlineStr">
        <is>
          <t>A-2-03</t>
        </is>
      </c>
      <c r="E12" s="20" t="inlineStr">
        <is>
          <t>F3</t>
        </is>
      </c>
      <c r="F12" s="22" t="n">
        <v>84</v>
      </c>
      <c r="G12" s="22" t="n">
        <v>9.5</v>
      </c>
      <c r="H12" s="23">
        <f>F12+G12</f>
        <v/>
      </c>
      <c r="I12" s="20" t="n">
        <v>2</v>
      </c>
      <c r="J12" s="20" t="n">
        <v>2</v>
      </c>
      <c r="K12" s="20" t="inlineStr">
        <is>
          <t>Cour</t>
        </is>
      </c>
      <c r="L12" s="20" t="inlineStr">
        <is>
          <t>Nord-Est</t>
        </is>
      </c>
      <c r="M12" s="20" t="inlineStr">
        <is>
          <t>Oui</t>
        </is>
      </c>
      <c r="N12" s="20" t="inlineStr">
        <is>
          <t>Sous-sol</t>
        </is>
      </c>
      <c r="O12" s="24" t="n">
        <v>795000</v>
      </c>
      <c r="P12" s="25">
        <f>IFERROR(O12/F12,"")</f>
        <v/>
      </c>
      <c r="Q12" s="20" t="inlineStr">
        <is>
          <t>Disponible</t>
        </is>
      </c>
      <c r="R12" s="20" t="inlineStr"/>
      <c r="S12" s="26" t="inlineStr">
        <is>
          <t>images/projects/jawhara/plans/f3.png</t>
        </is>
      </c>
      <c r="W12" s="26" t="inlineStr"/>
    </row>
    <row r="13">
      <c r="A13" s="20" t="inlineStr">
        <is>
          <t>jawhara</t>
        </is>
      </c>
      <c r="B13" s="20" t="inlineStr">
        <is>
          <t>A</t>
        </is>
      </c>
      <c r="C13" s="20" t="inlineStr">
        <is>
          <t>2</t>
        </is>
      </c>
      <c r="D13" s="21" t="inlineStr">
        <is>
          <t>A-2-04</t>
        </is>
      </c>
      <c r="E13" s="20" t="inlineStr">
        <is>
          <t>F4</t>
        </is>
      </c>
      <c r="F13" s="22" t="n">
        <v>109.5</v>
      </c>
      <c r="G13" s="22" t="n">
        <v>12</v>
      </c>
      <c r="H13" s="23">
        <f>F13+G13</f>
        <v/>
      </c>
      <c r="I13" s="20" t="n">
        <v>3</v>
      </c>
      <c r="J13" s="20" t="n">
        <v>2</v>
      </c>
      <c r="K13" s="20" t="inlineStr">
        <is>
          <t>Cour</t>
        </is>
      </c>
      <c r="L13" s="20" t="inlineStr">
        <is>
          <t>Nord-Est</t>
        </is>
      </c>
      <c r="M13" s="20" t="inlineStr">
        <is>
          <t>Oui</t>
        </is>
      </c>
      <c r="N13" s="20" t="inlineStr">
        <is>
          <t>Sous-sol</t>
        </is>
      </c>
      <c r="O13" s="24" t="n">
        <v>1014000</v>
      </c>
      <c r="P13" s="25">
        <f>IFERROR(O13/F13,"")</f>
        <v/>
      </c>
      <c r="Q13" s="20" t="inlineStr">
        <is>
          <t>Disponible</t>
        </is>
      </c>
      <c r="R13" s="20" t="inlineStr"/>
      <c r="S13" s="26" t="inlineStr">
        <is>
          <t>images/projects/jawhara/plans/f4.png</t>
        </is>
      </c>
      <c r="W13" s="26" t="inlineStr">
        <is>
          <t>Vue degagee sur le jardin interieur</t>
        </is>
      </c>
    </row>
    <row r="14">
      <c r="A14" s="20" t="inlineStr">
        <is>
          <t>jawhara</t>
        </is>
      </c>
      <c r="B14" s="20" t="inlineStr">
        <is>
          <t>A</t>
        </is>
      </c>
      <c r="C14" s="20" t="inlineStr">
        <is>
          <t>3</t>
        </is>
      </c>
      <c r="D14" s="21" t="inlineStr">
        <is>
          <t>A-3-01</t>
        </is>
      </c>
      <c r="E14" s="20" t="inlineStr">
        <is>
          <t>F3</t>
        </is>
      </c>
      <c r="F14" s="22" t="n">
        <v>84</v>
      </c>
      <c r="G14" s="22" t="n">
        <v>9.5</v>
      </c>
      <c r="H14" s="23">
        <f>F14+G14</f>
        <v/>
      </c>
      <c r="I14" s="20" t="n">
        <v>2</v>
      </c>
      <c r="J14" s="20" t="n">
        <v>2</v>
      </c>
      <c r="K14" s="20" t="inlineStr">
        <is>
          <t>Rue</t>
        </is>
      </c>
      <c r="L14" s="20" t="inlineStr">
        <is>
          <t>Sud-Ouest</t>
        </is>
      </c>
      <c r="M14" s="20" t="inlineStr">
        <is>
          <t>Oui</t>
        </is>
      </c>
      <c r="N14" s="20" t="inlineStr">
        <is>
          <t>Sous-sol</t>
        </is>
      </c>
      <c r="O14" s="24" t="n">
        <v>835000</v>
      </c>
      <c r="P14" s="25">
        <f>IFERROR(O14/F14,"")</f>
        <v/>
      </c>
      <c r="Q14" s="20" t="inlineStr">
        <is>
          <t>Disponible</t>
        </is>
      </c>
      <c r="R14" s="20" t="inlineStr"/>
      <c r="S14" s="26" t="inlineStr">
        <is>
          <t>images/projects/jawhara/plans/f3.png</t>
        </is>
      </c>
      <c r="W14" s="26" t="inlineStr"/>
    </row>
    <row r="15">
      <c r="A15" s="20" t="inlineStr">
        <is>
          <t>jawhara</t>
        </is>
      </c>
      <c r="B15" s="20" t="inlineStr">
        <is>
          <t>A</t>
        </is>
      </c>
      <c r="C15" s="20" t="inlineStr">
        <is>
          <t>3</t>
        </is>
      </c>
      <c r="D15" s="21" t="inlineStr">
        <is>
          <t>A-3-02</t>
        </is>
      </c>
      <c r="E15" s="20" t="inlineStr">
        <is>
          <t>F2</t>
        </is>
      </c>
      <c r="F15" s="22" t="n">
        <v>61.5</v>
      </c>
      <c r="G15" s="22" t="n">
        <v>7</v>
      </c>
      <c r="H15" s="23">
        <f>F15+G15</f>
        <v/>
      </c>
      <c r="I15" s="20" t="n">
        <v>1</v>
      </c>
      <c r="J15" s="20" t="n">
        <v>1</v>
      </c>
      <c r="K15" s="20" t="inlineStr">
        <is>
          <t>Rue</t>
        </is>
      </c>
      <c r="L15" s="20" t="inlineStr">
        <is>
          <t>Sud-Ouest</t>
        </is>
      </c>
      <c r="M15" s="20" t="inlineStr">
        <is>
          <t>Oui</t>
        </is>
      </c>
      <c r="N15" s="20" t="inlineStr">
        <is>
          <t>Sous-sol</t>
        </is>
      </c>
      <c r="O15" s="24" t="n">
        <v>631000</v>
      </c>
      <c r="P15" s="25">
        <f>IFERROR(O15/F15,"")</f>
        <v/>
      </c>
      <c r="Q15" s="20" t="inlineStr">
        <is>
          <t>Optionne</t>
        </is>
      </c>
      <c r="R15" s="20" t="inlineStr">
        <is>
          <t>2026-08-21</t>
        </is>
      </c>
      <c r="S15" s="26" t="inlineStr">
        <is>
          <t>images/projects/jawhara/plans/f2.png</t>
        </is>
      </c>
      <c r="W15" s="26" t="inlineStr"/>
    </row>
    <row r="16">
      <c r="A16" s="20" t="inlineStr">
        <is>
          <t>jawhara</t>
        </is>
      </c>
      <c r="B16" s="20" t="inlineStr">
        <is>
          <t>A</t>
        </is>
      </c>
      <c r="C16" s="20" t="inlineStr">
        <is>
          <t>3</t>
        </is>
      </c>
      <c r="D16" s="21" t="inlineStr">
        <is>
          <t>A-3-03</t>
        </is>
      </c>
      <c r="E16" s="20" t="inlineStr">
        <is>
          <t>F3</t>
        </is>
      </c>
      <c r="F16" s="22" t="n">
        <v>84</v>
      </c>
      <c r="G16" s="22" t="n">
        <v>9.5</v>
      </c>
      <c r="H16" s="23">
        <f>F16+G16</f>
        <v/>
      </c>
      <c r="I16" s="20" t="n">
        <v>2</v>
      </c>
      <c r="J16" s="20" t="n">
        <v>2</v>
      </c>
      <c r="K16" s="20" t="inlineStr">
        <is>
          <t>Cour</t>
        </is>
      </c>
      <c r="L16" s="20" t="inlineStr">
        <is>
          <t>Nord-Est</t>
        </is>
      </c>
      <c r="M16" s="20" t="inlineStr">
        <is>
          <t>Oui</t>
        </is>
      </c>
      <c r="N16" s="20" t="inlineStr">
        <is>
          <t>Sous-sol</t>
        </is>
      </c>
      <c r="O16" s="24" t="n">
        <v>810000</v>
      </c>
      <c r="P16" s="25">
        <f>IFERROR(O16/F16,"")</f>
        <v/>
      </c>
      <c r="Q16" s="20" t="inlineStr">
        <is>
          <t>Disponible</t>
        </is>
      </c>
      <c r="R16" s="20" t="inlineStr"/>
      <c r="S16" s="26" t="inlineStr">
        <is>
          <t>images/projects/jawhara/plans/f3.png</t>
        </is>
      </c>
      <c r="W16" s="26" t="inlineStr"/>
    </row>
    <row r="17">
      <c r="A17" s="20" t="inlineStr">
        <is>
          <t>jawhara</t>
        </is>
      </c>
      <c r="B17" s="20" t="inlineStr">
        <is>
          <t>A</t>
        </is>
      </c>
      <c r="C17" s="20" t="inlineStr">
        <is>
          <t>3</t>
        </is>
      </c>
      <c r="D17" s="21" t="inlineStr">
        <is>
          <t>A-3-04</t>
        </is>
      </c>
      <c r="E17" s="20" t="inlineStr">
        <is>
          <t>F4</t>
        </is>
      </c>
      <c r="F17" s="22" t="n">
        <v>109.5</v>
      </c>
      <c r="G17" s="22" t="n">
        <v>12</v>
      </c>
      <c r="H17" s="23">
        <f>F17+G17</f>
        <v/>
      </c>
      <c r="I17" s="20" t="n">
        <v>3</v>
      </c>
      <c r="J17" s="20" t="n">
        <v>2</v>
      </c>
      <c r="K17" s="20" t="inlineStr">
        <is>
          <t>Cour</t>
        </is>
      </c>
      <c r="L17" s="20" t="inlineStr">
        <is>
          <t>Nord-Est</t>
        </is>
      </c>
      <c r="M17" s="20" t="inlineStr">
        <is>
          <t>Oui</t>
        </is>
      </c>
      <c r="N17" s="20" t="inlineStr">
        <is>
          <t>Sous-sol</t>
        </is>
      </c>
      <c r="O17" s="24" t="n">
        <v>1033000</v>
      </c>
      <c r="P17" s="25">
        <f>IFERROR(O17/F17,"")</f>
        <v/>
      </c>
      <c r="Q17" s="20" t="inlineStr">
        <is>
          <t>Disponible</t>
        </is>
      </c>
      <c r="R17" s="20" t="inlineStr"/>
      <c r="S17" s="26" t="inlineStr">
        <is>
          <t>images/projects/jawhara/plans/f4.png</t>
        </is>
      </c>
      <c r="W17" s="26" t="inlineStr"/>
    </row>
    <row r="18">
      <c r="A18" s="20" t="inlineStr">
        <is>
          <t>jawhara</t>
        </is>
      </c>
      <c r="B18" s="20" t="inlineStr">
        <is>
          <t>A</t>
        </is>
      </c>
      <c r="C18" s="20" t="inlineStr">
        <is>
          <t>4</t>
        </is>
      </c>
      <c r="D18" s="21" t="inlineStr">
        <is>
          <t>A-4-01</t>
        </is>
      </c>
      <c r="E18" s="20" t="inlineStr">
        <is>
          <t>F3</t>
        </is>
      </c>
      <c r="F18" s="22" t="n">
        <v>84</v>
      </c>
      <c r="G18" s="22" t="n">
        <v>9.5</v>
      </c>
      <c r="H18" s="23">
        <f>F18+G18</f>
        <v/>
      </c>
      <c r="I18" s="20" t="n">
        <v>2</v>
      </c>
      <c r="J18" s="20" t="n">
        <v>2</v>
      </c>
      <c r="K18" s="20" t="inlineStr">
        <is>
          <t>Rue</t>
        </is>
      </c>
      <c r="L18" s="20" t="inlineStr">
        <is>
          <t>Sud-Ouest</t>
        </is>
      </c>
      <c r="M18" s="20" t="inlineStr">
        <is>
          <t>Oui</t>
        </is>
      </c>
      <c r="N18" s="20" t="inlineStr">
        <is>
          <t>Sous-sol</t>
        </is>
      </c>
      <c r="O18" s="24" t="n">
        <v>858000</v>
      </c>
      <c r="P18" s="25">
        <f>IFERROR(O18/F18,"")</f>
        <v/>
      </c>
      <c r="Q18" s="20" t="inlineStr">
        <is>
          <t>Reserve</t>
        </is>
      </c>
      <c r="R18" s="20" t="inlineStr"/>
      <c r="S18" s="26" t="inlineStr">
        <is>
          <t>images/projects/jawhara/plans/f3.png</t>
        </is>
      </c>
      <c r="W18" s="26" t="inlineStr">
        <is>
          <t>Terrasse privative 22 m2 incluse</t>
        </is>
      </c>
    </row>
    <row r="19">
      <c r="A19" s="20" t="inlineStr">
        <is>
          <t>jawhara</t>
        </is>
      </c>
      <c r="B19" s="20" t="inlineStr">
        <is>
          <t>A</t>
        </is>
      </c>
      <c r="C19" s="20" t="inlineStr">
        <is>
          <t>4</t>
        </is>
      </c>
      <c r="D19" s="21" t="inlineStr">
        <is>
          <t>A-4-02</t>
        </is>
      </c>
      <c r="E19" s="20" t="inlineStr">
        <is>
          <t>F2</t>
        </is>
      </c>
      <c r="F19" s="22" t="n">
        <v>61.5</v>
      </c>
      <c r="G19" s="22" t="n">
        <v>7</v>
      </c>
      <c r="H19" s="23">
        <f>F19+G19</f>
        <v/>
      </c>
      <c r="I19" s="20" t="n">
        <v>1</v>
      </c>
      <c r="J19" s="20" t="n">
        <v>1</v>
      </c>
      <c r="K19" s="20" t="inlineStr">
        <is>
          <t>Rue</t>
        </is>
      </c>
      <c r="L19" s="20" t="inlineStr">
        <is>
          <t>Sud-Ouest</t>
        </is>
      </c>
      <c r="M19" s="20" t="inlineStr">
        <is>
          <t>Oui</t>
        </is>
      </c>
      <c r="N19" s="20" t="inlineStr">
        <is>
          <t>Sous-sol</t>
        </is>
      </c>
      <c r="O19" s="24" t="n">
        <v>649000</v>
      </c>
      <c r="P19" s="25">
        <f>IFERROR(O19/F19,"")</f>
        <v/>
      </c>
      <c r="Q19" s="20" t="inlineStr">
        <is>
          <t>Disponible</t>
        </is>
      </c>
      <c r="R19" s="20" t="inlineStr"/>
      <c r="S19" s="26" t="inlineStr">
        <is>
          <t>images/projects/jawhara/plans/f2.png</t>
        </is>
      </c>
      <c r="W19" s="26" t="inlineStr"/>
    </row>
    <row r="20">
      <c r="A20" s="20" t="inlineStr">
        <is>
          <t>jawhara</t>
        </is>
      </c>
      <c r="B20" s="20" t="inlineStr">
        <is>
          <t>A</t>
        </is>
      </c>
      <c r="C20" s="20" t="inlineStr">
        <is>
          <t>4</t>
        </is>
      </c>
      <c r="D20" s="21" t="inlineStr">
        <is>
          <t>A-4-03</t>
        </is>
      </c>
      <c r="E20" s="20" t="inlineStr">
        <is>
          <t>F3</t>
        </is>
      </c>
      <c r="F20" s="22" t="n">
        <v>84</v>
      </c>
      <c r="G20" s="22" t="n">
        <v>9.5</v>
      </c>
      <c r="H20" s="23">
        <f>F20+G20</f>
        <v/>
      </c>
      <c r="I20" s="20" t="n">
        <v>2</v>
      </c>
      <c r="J20" s="20" t="n">
        <v>2</v>
      </c>
      <c r="K20" s="20" t="inlineStr">
        <is>
          <t>Cour</t>
        </is>
      </c>
      <c r="L20" s="20" t="inlineStr">
        <is>
          <t>Nord-Est</t>
        </is>
      </c>
      <c r="M20" s="20" t="inlineStr">
        <is>
          <t>Oui</t>
        </is>
      </c>
      <c r="N20" s="20" t="inlineStr">
        <is>
          <t>Sous-sol</t>
        </is>
      </c>
      <c r="O20" s="24" t="n">
        <v>833000</v>
      </c>
      <c r="P20" s="25">
        <f>IFERROR(O20/F20,"")</f>
        <v/>
      </c>
      <c r="Q20" s="20" t="inlineStr">
        <is>
          <t>Disponible</t>
        </is>
      </c>
      <c r="R20" s="20" t="inlineStr"/>
      <c r="S20" s="26" t="inlineStr">
        <is>
          <t>images/projects/jawhara/plans/f3.png</t>
        </is>
      </c>
      <c r="W20" s="26" t="inlineStr"/>
    </row>
    <row r="21">
      <c r="A21" s="20" t="inlineStr">
        <is>
          <t>jawhara</t>
        </is>
      </c>
      <c r="B21" s="20" t="inlineStr">
        <is>
          <t>A</t>
        </is>
      </c>
      <c r="C21" s="20" t="inlineStr">
        <is>
          <t>4</t>
        </is>
      </c>
      <c r="D21" s="21" t="inlineStr">
        <is>
          <t>A-4-04</t>
        </is>
      </c>
      <c r="E21" s="20" t="inlineStr">
        <is>
          <t>F4</t>
        </is>
      </c>
      <c r="F21" s="22" t="n">
        <v>109.5</v>
      </c>
      <c r="G21" s="22" t="n">
        <v>12</v>
      </c>
      <c r="H21" s="23">
        <f>F21+G21</f>
        <v/>
      </c>
      <c r="I21" s="20" t="n">
        <v>3</v>
      </c>
      <c r="J21" s="20" t="n">
        <v>2</v>
      </c>
      <c r="K21" s="20" t="inlineStr">
        <is>
          <t>Cour</t>
        </is>
      </c>
      <c r="L21" s="20" t="inlineStr">
        <is>
          <t>Nord-Est</t>
        </is>
      </c>
      <c r="M21" s="20" t="inlineStr">
        <is>
          <t>Oui</t>
        </is>
      </c>
      <c r="N21" s="20" t="inlineStr">
        <is>
          <t>Sous-sol</t>
        </is>
      </c>
      <c r="O21" s="24" t="n">
        <v>1062000</v>
      </c>
      <c r="P21" s="25">
        <f>IFERROR(O21/F21,"")</f>
        <v/>
      </c>
      <c r="Q21" s="20" t="inlineStr">
        <is>
          <t>Bloque</t>
        </is>
      </c>
      <c r="R21" s="20" t="inlineStr"/>
      <c r="S21" s="26" t="inlineStr">
        <is>
          <t>images/projects/jawhara/plans/f4.png</t>
        </is>
      </c>
      <c r="W21" s="26" t="inlineStr">
        <is>
          <t>Bloque : reserve au promoteur (logement temoin)</t>
        </is>
      </c>
    </row>
    <row r="22">
      <c r="A22" s="20" t="inlineStr">
        <is>
          <t>jawhara</t>
        </is>
      </c>
      <c r="B22" s="20" t="inlineStr">
        <is>
          <t>B</t>
        </is>
      </c>
      <c r="C22" s="20" t="inlineStr">
        <is>
          <t>RDC</t>
        </is>
      </c>
      <c r="D22" s="21" t="inlineStr">
        <is>
          <t>B-RDC-01</t>
        </is>
      </c>
      <c r="E22" s="20" t="inlineStr">
        <is>
          <t>Commerce</t>
        </is>
      </c>
      <c r="F22" s="22" t="n">
        <v>46.5</v>
      </c>
      <c r="G22" s="22" t="n">
        <v>0</v>
      </c>
      <c r="H22" s="23">
        <f>F22+G22</f>
        <v/>
      </c>
      <c r="I22" s="20" t="n">
        <v>0</v>
      </c>
      <c r="J22" s="20" t="n">
        <v>1</v>
      </c>
      <c r="K22" s="20" t="inlineStr">
        <is>
          <t>Rue</t>
        </is>
      </c>
      <c r="L22" s="20" t="inlineStr">
        <is>
          <t>Sud-Ouest</t>
        </is>
      </c>
      <c r="M22" s="20" t="inlineStr">
        <is>
          <t>Oui</t>
        </is>
      </c>
      <c r="N22" s="20" t="inlineStr">
        <is>
          <t>Aucun</t>
        </is>
      </c>
      <c r="O22" s="24" t="n">
        <v>694000</v>
      </c>
      <c r="P22" s="25">
        <f>IFERROR(O22/F22,"")</f>
        <v/>
      </c>
      <c r="Q22" s="20" t="inlineStr">
        <is>
          <t>Reserve</t>
        </is>
      </c>
      <c r="R22" s="20" t="inlineStr"/>
      <c r="S22" s="26" t="inlineStr"/>
      <c r="W22" s="26" t="inlineStr"/>
    </row>
    <row r="23">
      <c r="A23" s="20" t="inlineStr">
        <is>
          <t>jawhara</t>
        </is>
      </c>
      <c r="B23" s="20" t="inlineStr">
        <is>
          <t>B</t>
        </is>
      </c>
      <c r="C23" s="20" t="inlineStr">
        <is>
          <t>RDC</t>
        </is>
      </c>
      <c r="D23" s="21" t="inlineStr">
        <is>
          <t>B-RDC-02</t>
        </is>
      </c>
      <c r="E23" s="20" t="inlineStr">
        <is>
          <t>Commerce</t>
        </is>
      </c>
      <c r="F23" s="22" t="n">
        <v>46.5</v>
      </c>
      <c r="G23" s="22" t="n">
        <v>0</v>
      </c>
      <c r="H23" s="23">
        <f>F23+G23</f>
        <v/>
      </c>
      <c r="I23" s="20" t="n">
        <v>0</v>
      </c>
      <c r="J23" s="20" t="n">
        <v>1</v>
      </c>
      <c r="K23" s="20" t="inlineStr">
        <is>
          <t>Rue</t>
        </is>
      </c>
      <c r="L23" s="20" t="inlineStr">
        <is>
          <t>Sud-Ouest</t>
        </is>
      </c>
      <c r="M23" s="20" t="inlineStr">
        <is>
          <t>Oui</t>
        </is>
      </c>
      <c r="N23" s="20" t="inlineStr">
        <is>
          <t>Aucun</t>
        </is>
      </c>
      <c r="O23" s="24" t="n">
        <v>694000</v>
      </c>
      <c r="P23" s="25">
        <f>IFERROR(O23/F23,"")</f>
        <v/>
      </c>
      <c r="Q23" s="20" t="inlineStr">
        <is>
          <t>Vendu</t>
        </is>
      </c>
      <c r="R23" s="20" t="inlineStr"/>
      <c r="S23" s="26" t="inlineStr"/>
      <c r="W23" s="26" t="inlineStr"/>
    </row>
    <row r="24">
      <c r="A24" s="20" t="inlineStr">
        <is>
          <t>jawhara</t>
        </is>
      </c>
      <c r="B24" s="20" t="inlineStr">
        <is>
          <t>B</t>
        </is>
      </c>
      <c r="C24" s="20" t="inlineStr">
        <is>
          <t>RDC</t>
        </is>
      </c>
      <c r="D24" s="21" t="inlineStr">
        <is>
          <t>B-RDC-03</t>
        </is>
      </c>
      <c r="E24" s="20" t="inlineStr">
        <is>
          <t>F2</t>
        </is>
      </c>
      <c r="F24" s="22" t="n">
        <v>62</v>
      </c>
      <c r="G24" s="22" t="n">
        <v>7</v>
      </c>
      <c r="H24" s="23">
        <f>F24+G24</f>
        <v/>
      </c>
      <c r="I24" s="20" t="n">
        <v>1</v>
      </c>
      <c r="J24" s="20" t="n">
        <v>1</v>
      </c>
      <c r="K24" s="20" t="inlineStr">
        <is>
          <t>Jardin</t>
        </is>
      </c>
      <c r="L24" s="20" t="inlineStr">
        <is>
          <t>Nord-Est</t>
        </is>
      </c>
      <c r="M24" s="20" t="inlineStr">
        <is>
          <t>Oui</t>
        </is>
      </c>
      <c r="N24" s="20" t="inlineStr">
        <is>
          <t>Exterieur</t>
        </is>
      </c>
      <c r="O24" s="24" t="n">
        <v>583000</v>
      </c>
      <c r="P24" s="25">
        <f>IFERROR(O24/F24,"")</f>
        <v/>
      </c>
      <c r="Q24" s="20" t="inlineStr">
        <is>
          <t>Disponible</t>
        </is>
      </c>
      <c r="R24" s="20" t="inlineStr"/>
      <c r="S24" s="26" t="inlineStr">
        <is>
          <t>images/projects/jawhara/plans/f2.png</t>
        </is>
      </c>
      <c r="W24" s="26" t="inlineStr">
        <is>
          <t>Acces direct jardin, ideal famille</t>
        </is>
      </c>
    </row>
    <row r="25">
      <c r="A25" s="20" t="inlineStr">
        <is>
          <t>jawhara</t>
        </is>
      </c>
      <c r="B25" s="20" t="inlineStr">
        <is>
          <t>B</t>
        </is>
      </c>
      <c r="C25" s="20" t="inlineStr">
        <is>
          <t>RDC</t>
        </is>
      </c>
      <c r="D25" s="21" t="inlineStr">
        <is>
          <t>B-RDC-04</t>
        </is>
      </c>
      <c r="E25" s="20" t="inlineStr">
        <is>
          <t>F2</t>
        </is>
      </c>
      <c r="F25" s="22" t="n">
        <v>63.5</v>
      </c>
      <c r="G25" s="22" t="n">
        <v>7</v>
      </c>
      <c r="H25" s="23">
        <f>F25+G25</f>
        <v/>
      </c>
      <c r="I25" s="20" t="n">
        <v>1</v>
      </c>
      <c r="J25" s="20" t="n">
        <v>1</v>
      </c>
      <c r="K25" s="20" t="inlineStr">
        <is>
          <t>Jardin</t>
        </is>
      </c>
      <c r="L25" s="20" t="inlineStr">
        <is>
          <t>Nord-Est</t>
        </is>
      </c>
      <c r="M25" s="20" t="inlineStr">
        <is>
          <t>Oui</t>
        </is>
      </c>
      <c r="N25" s="20" t="inlineStr">
        <is>
          <t>Exterieur</t>
        </is>
      </c>
      <c r="O25" s="24" t="n">
        <v>597000</v>
      </c>
      <c r="P25" s="25">
        <f>IFERROR(O25/F25,"")</f>
        <v/>
      </c>
      <c r="Q25" s="20" t="inlineStr">
        <is>
          <t>Disponible</t>
        </is>
      </c>
      <c r="R25" s="20" t="inlineStr"/>
      <c r="S25" s="26" t="inlineStr">
        <is>
          <t>images/projects/jawhara/plans/f2.png</t>
        </is>
      </c>
      <c r="W25" s="26" t="inlineStr"/>
    </row>
    <row r="26">
      <c r="A26" s="20" t="inlineStr">
        <is>
          <t>jawhara</t>
        </is>
      </c>
      <c r="B26" s="20" t="inlineStr">
        <is>
          <t>B</t>
        </is>
      </c>
      <c r="C26" s="20" t="inlineStr">
        <is>
          <t>1</t>
        </is>
      </c>
      <c r="D26" s="21" t="inlineStr">
        <is>
          <t>B-1-01</t>
        </is>
      </c>
      <c r="E26" s="20" t="inlineStr">
        <is>
          <t>F3</t>
        </is>
      </c>
      <c r="F26" s="22" t="n">
        <v>84.5</v>
      </c>
      <c r="G26" s="22" t="n">
        <v>9.5</v>
      </c>
      <c r="H26" s="23">
        <f>F26+G26</f>
        <v/>
      </c>
      <c r="I26" s="20" t="n">
        <v>2</v>
      </c>
      <c r="J26" s="20" t="n">
        <v>2</v>
      </c>
      <c r="K26" s="20" t="inlineStr">
        <is>
          <t>Rue</t>
        </is>
      </c>
      <c r="L26" s="20" t="inlineStr">
        <is>
          <t>Sud-Ouest</t>
        </is>
      </c>
      <c r="M26" s="20" t="inlineStr">
        <is>
          <t>Oui</t>
        </is>
      </c>
      <c r="N26" s="20" t="inlineStr">
        <is>
          <t>Sous-sol</t>
        </is>
      </c>
      <c r="O26" s="24" t="n">
        <v>808000</v>
      </c>
      <c r="P26" s="25">
        <f>IFERROR(O26/F26,"")</f>
        <v/>
      </c>
      <c r="Q26" s="20" t="inlineStr">
        <is>
          <t>Disponible</t>
        </is>
      </c>
      <c r="R26" s="20" t="inlineStr"/>
      <c r="S26" s="26" t="inlineStr">
        <is>
          <t>images/projects/jawhara/plans/f3.png</t>
        </is>
      </c>
      <c r="W26" s="26" t="inlineStr"/>
    </row>
    <row r="27">
      <c r="A27" s="20" t="inlineStr">
        <is>
          <t>jawhara</t>
        </is>
      </c>
      <c r="B27" s="20" t="inlineStr">
        <is>
          <t>B</t>
        </is>
      </c>
      <c r="C27" s="20" t="inlineStr">
        <is>
          <t>1</t>
        </is>
      </c>
      <c r="D27" s="21" t="inlineStr">
        <is>
          <t>B-1-02</t>
        </is>
      </c>
      <c r="E27" s="20" t="inlineStr">
        <is>
          <t>F2</t>
        </is>
      </c>
      <c r="F27" s="22" t="n">
        <v>62</v>
      </c>
      <c r="G27" s="22" t="n">
        <v>7</v>
      </c>
      <c r="H27" s="23">
        <f>F27+G27</f>
        <v/>
      </c>
      <c r="I27" s="20" t="n">
        <v>1</v>
      </c>
      <c r="J27" s="20" t="n">
        <v>1</v>
      </c>
      <c r="K27" s="20" t="inlineStr">
        <is>
          <t>Rue</t>
        </is>
      </c>
      <c r="L27" s="20" t="inlineStr">
        <is>
          <t>Sud-Ouest</t>
        </is>
      </c>
      <c r="M27" s="20" t="inlineStr">
        <is>
          <t>Oui</t>
        </is>
      </c>
      <c r="N27" s="20" t="inlineStr">
        <is>
          <t>Sous-sol</t>
        </is>
      </c>
      <c r="O27" s="24" t="n">
        <v>612000</v>
      </c>
      <c r="P27" s="25">
        <f>IFERROR(O27/F27,"")</f>
        <v/>
      </c>
      <c r="Q27" s="20" t="inlineStr">
        <is>
          <t>Disponible</t>
        </is>
      </c>
      <c r="R27" s="20" t="inlineStr"/>
      <c r="S27" s="26" t="inlineStr">
        <is>
          <t>images/projects/jawhara/plans/f2.png</t>
        </is>
      </c>
      <c r="W27" s="26" t="inlineStr"/>
    </row>
    <row r="28">
      <c r="A28" s="20" t="inlineStr">
        <is>
          <t>jawhara</t>
        </is>
      </c>
      <c r="B28" s="20" t="inlineStr">
        <is>
          <t>B</t>
        </is>
      </c>
      <c r="C28" s="20" t="inlineStr">
        <is>
          <t>1</t>
        </is>
      </c>
      <c r="D28" s="21" t="inlineStr">
        <is>
          <t>B-1-03</t>
        </is>
      </c>
      <c r="E28" s="20" t="inlineStr">
        <is>
          <t>F3</t>
        </is>
      </c>
      <c r="F28" s="22" t="n">
        <v>84.5</v>
      </c>
      <c r="G28" s="22" t="n">
        <v>9.5</v>
      </c>
      <c r="H28" s="23">
        <f>F28+G28</f>
        <v/>
      </c>
      <c r="I28" s="20" t="n">
        <v>2</v>
      </c>
      <c r="J28" s="20" t="n">
        <v>2</v>
      </c>
      <c r="K28" s="20" t="inlineStr">
        <is>
          <t>Cour</t>
        </is>
      </c>
      <c r="L28" s="20" t="inlineStr">
        <is>
          <t>Nord-Est</t>
        </is>
      </c>
      <c r="M28" s="20" t="inlineStr">
        <is>
          <t>Oui</t>
        </is>
      </c>
      <c r="N28" s="20" t="inlineStr">
        <is>
          <t>Sous-sol</t>
        </is>
      </c>
      <c r="O28" s="24" t="n">
        <v>784000</v>
      </c>
      <c r="P28" s="25">
        <f>IFERROR(O28/F28,"")</f>
        <v/>
      </c>
      <c r="Q28" s="20" t="inlineStr">
        <is>
          <t>Vendu</t>
        </is>
      </c>
      <c r="R28" s="20" t="inlineStr"/>
      <c r="S28" s="26" t="inlineStr">
        <is>
          <t>images/projects/jawhara/plans/f3.png</t>
        </is>
      </c>
      <c r="W28" s="26" t="inlineStr"/>
    </row>
    <row r="29">
      <c r="A29" s="20" t="inlineStr">
        <is>
          <t>jawhara</t>
        </is>
      </c>
      <c r="B29" s="20" t="inlineStr">
        <is>
          <t>B</t>
        </is>
      </c>
      <c r="C29" s="20" t="inlineStr">
        <is>
          <t>1</t>
        </is>
      </c>
      <c r="D29" s="21" t="inlineStr">
        <is>
          <t>B-1-04</t>
        </is>
      </c>
      <c r="E29" s="20" t="inlineStr">
        <is>
          <t>F4</t>
        </is>
      </c>
      <c r="F29" s="22" t="n">
        <v>110</v>
      </c>
      <c r="G29" s="22" t="n">
        <v>12</v>
      </c>
      <c r="H29" s="23">
        <f>F29+G29</f>
        <v/>
      </c>
      <c r="I29" s="20" t="n">
        <v>3</v>
      </c>
      <c r="J29" s="20" t="n">
        <v>2</v>
      </c>
      <c r="K29" s="20" t="inlineStr">
        <is>
          <t>Cour</t>
        </is>
      </c>
      <c r="L29" s="20" t="inlineStr">
        <is>
          <t>Nord-Est</t>
        </is>
      </c>
      <c r="M29" s="20" t="inlineStr">
        <is>
          <t>Oui</t>
        </is>
      </c>
      <c r="N29" s="20" t="inlineStr">
        <is>
          <t>Sous-sol</t>
        </is>
      </c>
      <c r="O29" s="24" t="n">
        <v>999000</v>
      </c>
      <c r="P29" s="25">
        <f>IFERROR(O29/F29,"")</f>
        <v/>
      </c>
      <c r="Q29" s="20" t="inlineStr">
        <is>
          <t>Disponible</t>
        </is>
      </c>
      <c r="R29" s="20" t="inlineStr"/>
      <c r="S29" s="26" t="inlineStr">
        <is>
          <t>images/projects/jawhara/plans/f4.png</t>
        </is>
      </c>
      <c r="W29" s="26" t="inlineStr"/>
    </row>
    <row r="30">
      <c r="A30" s="20" t="inlineStr">
        <is>
          <t>jawhara</t>
        </is>
      </c>
      <c r="B30" s="20" t="inlineStr">
        <is>
          <t>B</t>
        </is>
      </c>
      <c r="C30" s="20" t="inlineStr">
        <is>
          <t>2</t>
        </is>
      </c>
      <c r="D30" s="21" t="inlineStr">
        <is>
          <t>B-2-01</t>
        </is>
      </c>
      <c r="E30" s="20" t="inlineStr">
        <is>
          <t>F3</t>
        </is>
      </c>
      <c r="F30" s="22" t="n">
        <v>84.5</v>
      </c>
      <c r="G30" s="22" t="n">
        <v>9.5</v>
      </c>
      <c r="H30" s="23">
        <f>F30+G30</f>
        <v/>
      </c>
      <c r="I30" s="20" t="n">
        <v>2</v>
      </c>
      <c r="J30" s="20" t="n">
        <v>2</v>
      </c>
      <c r="K30" s="20" t="inlineStr">
        <is>
          <t>Rue</t>
        </is>
      </c>
      <c r="L30" s="20" t="inlineStr">
        <is>
          <t>Sud-Ouest</t>
        </is>
      </c>
      <c r="M30" s="20" t="inlineStr">
        <is>
          <t>Oui</t>
        </is>
      </c>
      <c r="N30" s="20" t="inlineStr">
        <is>
          <t>Sous-sol</t>
        </is>
      </c>
      <c r="O30" s="24" t="n">
        <v>824000</v>
      </c>
      <c r="P30" s="25">
        <f>IFERROR(O30/F30,"")</f>
        <v/>
      </c>
      <c r="Q30" s="20" t="inlineStr">
        <is>
          <t>Disponible</t>
        </is>
      </c>
      <c r="R30" s="20" t="inlineStr"/>
      <c r="S30" s="26" t="inlineStr">
        <is>
          <t>images/projects/jawhara/plans/f3.png</t>
        </is>
      </c>
      <c r="W30" s="26" t="inlineStr"/>
    </row>
    <row r="31">
      <c r="A31" s="20" t="inlineStr">
        <is>
          <t>jawhara</t>
        </is>
      </c>
      <c r="B31" s="20" t="inlineStr">
        <is>
          <t>B</t>
        </is>
      </c>
      <c r="C31" s="20" t="inlineStr">
        <is>
          <t>2</t>
        </is>
      </c>
      <c r="D31" s="21" t="inlineStr">
        <is>
          <t>B-2-02</t>
        </is>
      </c>
      <c r="E31" s="20" t="inlineStr">
        <is>
          <t>F2</t>
        </is>
      </c>
      <c r="F31" s="22" t="n">
        <v>62</v>
      </c>
      <c r="G31" s="22" t="n">
        <v>7</v>
      </c>
      <c r="H31" s="23">
        <f>F31+G31</f>
        <v/>
      </c>
      <c r="I31" s="20" t="n">
        <v>1</v>
      </c>
      <c r="J31" s="20" t="n">
        <v>1</v>
      </c>
      <c r="K31" s="20" t="inlineStr">
        <is>
          <t>Rue</t>
        </is>
      </c>
      <c r="L31" s="20" t="inlineStr">
        <is>
          <t>Sud-Ouest</t>
        </is>
      </c>
      <c r="M31" s="20" t="inlineStr">
        <is>
          <t>Oui</t>
        </is>
      </c>
      <c r="N31" s="20" t="inlineStr">
        <is>
          <t>Sous-sol</t>
        </is>
      </c>
      <c r="O31" s="24" t="n">
        <v>624000</v>
      </c>
      <c r="P31" s="25">
        <f>IFERROR(O31/F31,"")</f>
        <v/>
      </c>
      <c r="Q31" s="20" t="inlineStr">
        <is>
          <t>Optionne</t>
        </is>
      </c>
      <c r="R31" s="20" t="inlineStr">
        <is>
          <t>2026-08-09</t>
        </is>
      </c>
      <c r="S31" s="26" t="inlineStr">
        <is>
          <t>images/projects/jawhara/plans/f2.png</t>
        </is>
      </c>
      <c r="W31" s="26" t="inlineStr"/>
    </row>
    <row r="32">
      <c r="A32" s="20" t="inlineStr">
        <is>
          <t>jawhara</t>
        </is>
      </c>
      <c r="B32" s="20" t="inlineStr">
        <is>
          <t>B</t>
        </is>
      </c>
      <c r="C32" s="20" t="inlineStr">
        <is>
          <t>2</t>
        </is>
      </c>
      <c r="D32" s="21" t="inlineStr">
        <is>
          <t>B-2-03</t>
        </is>
      </c>
      <c r="E32" s="20" t="inlineStr">
        <is>
          <t>F3</t>
        </is>
      </c>
      <c r="F32" s="22" t="n">
        <v>84.5</v>
      </c>
      <c r="G32" s="22" t="n">
        <v>9.5</v>
      </c>
      <c r="H32" s="23">
        <f>F32+G32</f>
        <v/>
      </c>
      <c r="I32" s="20" t="n">
        <v>2</v>
      </c>
      <c r="J32" s="20" t="n">
        <v>2</v>
      </c>
      <c r="K32" s="20" t="inlineStr">
        <is>
          <t>Cour</t>
        </is>
      </c>
      <c r="L32" s="20" t="inlineStr">
        <is>
          <t>Nord-Est</t>
        </is>
      </c>
      <c r="M32" s="20" t="inlineStr">
        <is>
          <t>Oui</t>
        </is>
      </c>
      <c r="N32" s="20" t="inlineStr">
        <is>
          <t>Sous-sol</t>
        </is>
      </c>
      <c r="O32" s="24" t="n">
        <v>800000</v>
      </c>
      <c r="P32" s="25">
        <f>IFERROR(O32/F32,"")</f>
        <v/>
      </c>
      <c r="Q32" s="20" t="inlineStr">
        <is>
          <t>Disponible</t>
        </is>
      </c>
      <c r="R32" s="20" t="inlineStr"/>
      <c r="S32" s="26" t="inlineStr">
        <is>
          <t>images/projects/jawhara/plans/f3.png</t>
        </is>
      </c>
      <c r="W32" s="26" t="inlineStr"/>
    </row>
    <row r="33">
      <c r="A33" s="20" t="inlineStr">
        <is>
          <t>jawhara</t>
        </is>
      </c>
      <c r="B33" s="20" t="inlineStr">
        <is>
          <t>B</t>
        </is>
      </c>
      <c r="C33" s="20" t="inlineStr">
        <is>
          <t>2</t>
        </is>
      </c>
      <c r="D33" s="21" t="inlineStr">
        <is>
          <t>B-2-04</t>
        </is>
      </c>
      <c r="E33" s="20" t="inlineStr">
        <is>
          <t>F4</t>
        </is>
      </c>
      <c r="F33" s="22" t="n">
        <v>110</v>
      </c>
      <c r="G33" s="22" t="n">
        <v>12</v>
      </c>
      <c r="H33" s="23">
        <f>F33+G33</f>
        <v/>
      </c>
      <c r="I33" s="20" t="n">
        <v>3</v>
      </c>
      <c r="J33" s="20" t="n">
        <v>2</v>
      </c>
      <c r="K33" s="20" t="inlineStr">
        <is>
          <t>Cour</t>
        </is>
      </c>
      <c r="L33" s="20" t="inlineStr">
        <is>
          <t>Nord-Est</t>
        </is>
      </c>
      <c r="M33" s="20" t="inlineStr">
        <is>
          <t>Oui</t>
        </is>
      </c>
      <c r="N33" s="20" t="inlineStr">
        <is>
          <t>Sous-sol</t>
        </is>
      </c>
      <c r="O33" s="24" t="n">
        <v>1018000</v>
      </c>
      <c r="P33" s="25">
        <f>IFERROR(O33/F33,"")</f>
        <v/>
      </c>
      <c r="Q33" s="20" t="inlineStr">
        <is>
          <t>Disponible</t>
        </is>
      </c>
      <c r="R33" s="20" t="inlineStr"/>
      <c r="S33" s="26" t="inlineStr">
        <is>
          <t>images/projects/jawhara/plans/f4.png</t>
        </is>
      </c>
      <c r="W33" s="26" t="inlineStr"/>
    </row>
    <row r="34">
      <c r="A34" s="20" t="inlineStr">
        <is>
          <t>jawhara</t>
        </is>
      </c>
      <c r="B34" s="20" t="inlineStr">
        <is>
          <t>B</t>
        </is>
      </c>
      <c r="C34" s="20" t="inlineStr">
        <is>
          <t>3</t>
        </is>
      </c>
      <c r="D34" s="21" t="inlineStr">
        <is>
          <t>B-3-01</t>
        </is>
      </c>
      <c r="E34" s="20" t="inlineStr">
        <is>
          <t>F3</t>
        </is>
      </c>
      <c r="F34" s="22" t="n">
        <v>84.5</v>
      </c>
      <c r="G34" s="22" t="n">
        <v>9.5</v>
      </c>
      <c r="H34" s="23">
        <f>F34+G34</f>
        <v/>
      </c>
      <c r="I34" s="20" t="n">
        <v>2</v>
      </c>
      <c r="J34" s="20" t="n">
        <v>2</v>
      </c>
      <c r="K34" s="20" t="inlineStr">
        <is>
          <t>Rue</t>
        </is>
      </c>
      <c r="L34" s="20" t="inlineStr">
        <is>
          <t>Sud-Ouest</t>
        </is>
      </c>
      <c r="M34" s="20" t="inlineStr">
        <is>
          <t>Oui</t>
        </is>
      </c>
      <c r="N34" s="20" t="inlineStr">
        <is>
          <t>Sous-sol</t>
        </is>
      </c>
      <c r="O34" s="24" t="n">
        <v>840000</v>
      </c>
      <c r="P34" s="25">
        <f>IFERROR(O34/F34,"")</f>
        <v/>
      </c>
      <c r="Q34" s="20" t="inlineStr">
        <is>
          <t>Disponible</t>
        </is>
      </c>
      <c r="R34" s="20" t="inlineStr"/>
      <c r="S34" s="26" t="inlineStr">
        <is>
          <t>images/projects/jawhara/plans/f3.png</t>
        </is>
      </c>
      <c r="W34" s="26" t="inlineStr"/>
    </row>
    <row r="35">
      <c r="A35" s="20" t="inlineStr">
        <is>
          <t>jawhara</t>
        </is>
      </c>
      <c r="B35" s="20" t="inlineStr">
        <is>
          <t>B</t>
        </is>
      </c>
      <c r="C35" s="20" t="inlineStr">
        <is>
          <t>3</t>
        </is>
      </c>
      <c r="D35" s="21" t="inlineStr">
        <is>
          <t>B-3-02</t>
        </is>
      </c>
      <c r="E35" s="20" t="inlineStr">
        <is>
          <t>F2</t>
        </is>
      </c>
      <c r="F35" s="22" t="n">
        <v>62</v>
      </c>
      <c r="G35" s="22" t="n">
        <v>7</v>
      </c>
      <c r="H35" s="23">
        <f>F35+G35</f>
        <v/>
      </c>
      <c r="I35" s="20" t="n">
        <v>1</v>
      </c>
      <c r="J35" s="20" t="n">
        <v>1</v>
      </c>
      <c r="K35" s="20" t="inlineStr">
        <is>
          <t>Rue</t>
        </is>
      </c>
      <c r="L35" s="20" t="inlineStr">
        <is>
          <t>Sud-Ouest</t>
        </is>
      </c>
      <c r="M35" s="20" t="inlineStr">
        <is>
          <t>Oui</t>
        </is>
      </c>
      <c r="N35" s="20" t="inlineStr">
        <is>
          <t>Sous-sol</t>
        </is>
      </c>
      <c r="O35" s="24" t="n">
        <v>636000</v>
      </c>
      <c r="P35" s="25">
        <f>IFERROR(O35/F35,"")</f>
        <v/>
      </c>
      <c r="Q35" s="20" t="inlineStr">
        <is>
          <t>Disponible</t>
        </is>
      </c>
      <c r="R35" s="20" t="inlineStr"/>
      <c r="S35" s="26" t="inlineStr">
        <is>
          <t>images/projects/jawhara/plans/f2.png</t>
        </is>
      </c>
      <c r="W35" s="26" t="inlineStr"/>
    </row>
    <row r="36">
      <c r="A36" s="20" t="inlineStr">
        <is>
          <t>jawhara</t>
        </is>
      </c>
      <c r="B36" s="20" t="inlineStr">
        <is>
          <t>B</t>
        </is>
      </c>
      <c r="C36" s="20" t="inlineStr">
        <is>
          <t>3</t>
        </is>
      </c>
      <c r="D36" s="21" t="inlineStr">
        <is>
          <t>B-3-03</t>
        </is>
      </c>
      <c r="E36" s="20" t="inlineStr">
        <is>
          <t>F3</t>
        </is>
      </c>
      <c r="F36" s="22" t="n">
        <v>84.5</v>
      </c>
      <c r="G36" s="22" t="n">
        <v>9.5</v>
      </c>
      <c r="H36" s="23">
        <f>F36+G36</f>
        <v/>
      </c>
      <c r="I36" s="20" t="n">
        <v>2</v>
      </c>
      <c r="J36" s="20" t="n">
        <v>2</v>
      </c>
      <c r="K36" s="20" t="inlineStr">
        <is>
          <t>Cour</t>
        </is>
      </c>
      <c r="L36" s="20" t="inlineStr">
        <is>
          <t>Nord-Est</t>
        </is>
      </c>
      <c r="M36" s="20" t="inlineStr">
        <is>
          <t>Oui</t>
        </is>
      </c>
      <c r="N36" s="20" t="inlineStr">
        <is>
          <t>Sous-sol</t>
        </is>
      </c>
      <c r="O36" s="24" t="n">
        <v>815000</v>
      </c>
      <c r="P36" s="25">
        <f>IFERROR(O36/F36,"")</f>
        <v/>
      </c>
      <c r="Q36" s="20" t="inlineStr">
        <is>
          <t>Disponible</t>
        </is>
      </c>
      <c r="R36" s="20" t="inlineStr"/>
      <c r="S36" s="26" t="inlineStr">
        <is>
          <t>images/projects/jawhara/plans/f3.png</t>
        </is>
      </c>
      <c r="W36" s="26" t="inlineStr"/>
    </row>
    <row r="37">
      <c r="A37" s="20" t="inlineStr">
        <is>
          <t>jawhara</t>
        </is>
      </c>
      <c r="B37" s="20" t="inlineStr">
        <is>
          <t>B</t>
        </is>
      </c>
      <c r="C37" s="20" t="inlineStr">
        <is>
          <t>3</t>
        </is>
      </c>
      <c r="D37" s="21" t="inlineStr">
        <is>
          <t>B-3-04</t>
        </is>
      </c>
      <c r="E37" s="20" t="inlineStr">
        <is>
          <t>F4</t>
        </is>
      </c>
      <c r="F37" s="22" t="n">
        <v>110</v>
      </c>
      <c r="G37" s="22" t="n">
        <v>12</v>
      </c>
      <c r="H37" s="23">
        <f>F37+G37</f>
        <v/>
      </c>
      <c r="I37" s="20" t="n">
        <v>3</v>
      </c>
      <c r="J37" s="20" t="n">
        <v>2</v>
      </c>
      <c r="K37" s="20" t="inlineStr">
        <is>
          <t>Cour</t>
        </is>
      </c>
      <c r="L37" s="20" t="inlineStr">
        <is>
          <t>Nord-Est</t>
        </is>
      </c>
      <c r="M37" s="20" t="inlineStr">
        <is>
          <t>Oui</t>
        </is>
      </c>
      <c r="N37" s="20" t="inlineStr">
        <is>
          <t>Sous-sol</t>
        </is>
      </c>
      <c r="O37" s="24" t="n">
        <v>1038000</v>
      </c>
      <c r="P37" s="25">
        <f>IFERROR(O37/F37,"")</f>
        <v/>
      </c>
      <c r="Q37" s="20" t="inlineStr">
        <is>
          <t>Reserve</t>
        </is>
      </c>
      <c r="R37" s="20" t="inlineStr"/>
      <c r="S37" s="26" t="inlineStr">
        <is>
          <t>images/projects/jawhara/plans/f4.png</t>
        </is>
      </c>
      <c r="W37" s="26" t="inlineStr"/>
    </row>
    <row r="38">
      <c r="A38" s="20" t="inlineStr">
        <is>
          <t>jawhara</t>
        </is>
      </c>
      <c r="B38" s="20" t="inlineStr">
        <is>
          <t>B</t>
        </is>
      </c>
      <c r="C38" s="20" t="inlineStr">
        <is>
          <t>4</t>
        </is>
      </c>
      <c r="D38" s="21" t="inlineStr">
        <is>
          <t>B-4-01</t>
        </is>
      </c>
      <c r="E38" s="20" t="inlineStr">
        <is>
          <t>F3</t>
        </is>
      </c>
      <c r="F38" s="22" t="n">
        <v>84.5</v>
      </c>
      <c r="G38" s="22" t="n">
        <v>9.5</v>
      </c>
      <c r="H38" s="23">
        <f>F38+G38</f>
        <v/>
      </c>
      <c r="I38" s="20" t="n">
        <v>2</v>
      </c>
      <c r="J38" s="20" t="n">
        <v>2</v>
      </c>
      <c r="K38" s="20" t="inlineStr">
        <is>
          <t>Rue</t>
        </is>
      </c>
      <c r="L38" s="20" t="inlineStr">
        <is>
          <t>Sud-Ouest</t>
        </is>
      </c>
      <c r="M38" s="20" t="inlineStr">
        <is>
          <t>Oui</t>
        </is>
      </c>
      <c r="N38" s="20" t="inlineStr">
        <is>
          <t>Sous-sol</t>
        </is>
      </c>
      <c r="O38" s="24" t="n">
        <v>863000</v>
      </c>
      <c r="P38" s="25">
        <f>IFERROR(O38/F38,"")</f>
        <v/>
      </c>
      <c r="Q38" s="20" t="inlineStr">
        <is>
          <t>Disponible</t>
        </is>
      </c>
      <c r="R38" s="20" t="inlineStr"/>
      <c r="S38" s="26" t="inlineStr">
        <is>
          <t>images/projects/jawhara/plans/f3.png</t>
        </is>
      </c>
      <c r="W38" s="26" t="inlineStr">
        <is>
          <t>Terrasse privative 20 m2 incluse</t>
        </is>
      </c>
    </row>
    <row r="39">
      <c r="A39" s="20" t="inlineStr">
        <is>
          <t>jawhara</t>
        </is>
      </c>
      <c r="B39" s="20" t="inlineStr">
        <is>
          <t>B</t>
        </is>
      </c>
      <c r="C39" s="20" t="inlineStr">
        <is>
          <t>4</t>
        </is>
      </c>
      <c r="D39" s="21" t="inlineStr">
        <is>
          <t>B-4-02</t>
        </is>
      </c>
      <c r="E39" s="20" t="inlineStr">
        <is>
          <t>F2</t>
        </is>
      </c>
      <c r="F39" s="22" t="n">
        <v>62</v>
      </c>
      <c r="G39" s="22" t="n">
        <v>7</v>
      </c>
      <c r="H39" s="23">
        <f>F39+G39</f>
        <v/>
      </c>
      <c r="I39" s="20" t="n">
        <v>1</v>
      </c>
      <c r="J39" s="20" t="n">
        <v>1</v>
      </c>
      <c r="K39" s="20" t="inlineStr">
        <is>
          <t>Rue</t>
        </is>
      </c>
      <c r="L39" s="20" t="inlineStr">
        <is>
          <t>Sud-Ouest</t>
        </is>
      </c>
      <c r="M39" s="20" t="inlineStr">
        <is>
          <t>Oui</t>
        </is>
      </c>
      <c r="N39" s="20" t="inlineStr">
        <is>
          <t>Sous-sol</t>
        </is>
      </c>
      <c r="O39" s="24" t="n">
        <v>654000</v>
      </c>
      <c r="P39" s="25">
        <f>IFERROR(O39/F39,"")</f>
        <v/>
      </c>
      <c r="Q39" s="20" t="inlineStr">
        <is>
          <t>Disponible</t>
        </is>
      </c>
      <c r="R39" s="20" t="inlineStr"/>
      <c r="S39" s="26" t="inlineStr">
        <is>
          <t>images/projects/jawhara/plans/f2.png</t>
        </is>
      </c>
      <c r="W39" s="26" t="inlineStr"/>
    </row>
    <row r="40">
      <c r="A40" s="20" t="inlineStr">
        <is>
          <t>jawhara</t>
        </is>
      </c>
      <c r="B40" s="20" t="inlineStr">
        <is>
          <t>B</t>
        </is>
      </c>
      <c r="C40" s="20" t="inlineStr">
        <is>
          <t>4</t>
        </is>
      </c>
      <c r="D40" s="21" t="inlineStr">
        <is>
          <t>B-4-03</t>
        </is>
      </c>
      <c r="E40" s="20" t="inlineStr">
        <is>
          <t>F3</t>
        </is>
      </c>
      <c r="F40" s="22" t="n">
        <v>84.5</v>
      </c>
      <c r="G40" s="22" t="n">
        <v>9.5</v>
      </c>
      <c r="H40" s="23">
        <f>F40+G40</f>
        <v/>
      </c>
      <c r="I40" s="20" t="n">
        <v>2</v>
      </c>
      <c r="J40" s="20" t="n">
        <v>2</v>
      </c>
      <c r="K40" s="20" t="inlineStr">
        <is>
          <t>Cour</t>
        </is>
      </c>
      <c r="L40" s="20" t="inlineStr">
        <is>
          <t>Nord-Est</t>
        </is>
      </c>
      <c r="M40" s="20" t="inlineStr">
        <is>
          <t>Oui</t>
        </is>
      </c>
      <c r="N40" s="20" t="inlineStr">
        <is>
          <t>Sous-sol</t>
        </is>
      </c>
      <c r="O40" s="24" t="n">
        <v>838000</v>
      </c>
      <c r="P40" s="25">
        <f>IFERROR(O40/F40,"")</f>
        <v/>
      </c>
      <c r="Q40" s="20" t="inlineStr">
        <is>
          <t>Disponible</t>
        </is>
      </c>
      <c r="R40" s="20" t="inlineStr"/>
      <c r="S40" s="26" t="inlineStr">
        <is>
          <t>images/projects/jawhara/plans/f3.png</t>
        </is>
      </c>
      <c r="W40" s="26" t="inlineStr"/>
    </row>
    <row r="41">
      <c r="A41" s="20" t="inlineStr">
        <is>
          <t>jawhara</t>
        </is>
      </c>
      <c r="B41" s="20" t="inlineStr">
        <is>
          <t>B</t>
        </is>
      </c>
      <c r="C41" s="20" t="inlineStr">
        <is>
          <t>4</t>
        </is>
      </c>
      <c r="D41" s="21" t="inlineStr">
        <is>
          <t>B-4-04</t>
        </is>
      </c>
      <c r="E41" s="20" t="inlineStr">
        <is>
          <t>F4</t>
        </is>
      </c>
      <c r="F41" s="22" t="n">
        <v>110</v>
      </c>
      <c r="G41" s="22" t="n">
        <v>12</v>
      </c>
      <c r="H41" s="23">
        <f>F41+G41</f>
        <v/>
      </c>
      <c r="I41" s="20" t="n">
        <v>3</v>
      </c>
      <c r="J41" s="20" t="n">
        <v>2</v>
      </c>
      <c r="K41" s="20" t="inlineStr">
        <is>
          <t>Cour</t>
        </is>
      </c>
      <c r="L41" s="20" t="inlineStr">
        <is>
          <t>Nord-Est</t>
        </is>
      </c>
      <c r="M41" s="20" t="inlineStr">
        <is>
          <t>Oui</t>
        </is>
      </c>
      <c r="N41" s="20" t="inlineStr">
        <is>
          <t>Sous-sol</t>
        </is>
      </c>
      <c r="O41" s="24" t="n">
        <v>1067000</v>
      </c>
      <c r="P41" s="25">
        <f>IFERROR(O41/F41,"")</f>
        <v/>
      </c>
      <c r="Q41" s="20" t="inlineStr">
        <is>
          <t>Disponible</t>
        </is>
      </c>
      <c r="R41" s="20" t="inlineStr"/>
      <c r="S41" s="26" t="inlineStr">
        <is>
          <t>images/projects/jawhara/plans/f4.png</t>
        </is>
      </c>
      <c r="W41" s="26" t="inlineStr"/>
    </row>
  </sheetData>
  <autoFilter ref="A1:W41"/>
  <conditionalFormatting sqref="Q2:Q1000">
    <cfRule type="containsText" priority="1" operator="containsText" dxfId="0" stopIfTrue="0" text="Disponible">
      <formula>NOT(ISERROR(SEARCH("Disponible",Q2)))</formula>
    </cfRule>
    <cfRule type="containsText" priority="2" operator="containsText" dxfId="1" stopIfTrue="0" text="Optionne">
      <formula>NOT(ISERROR(SEARCH("Optionne",Q2)))</formula>
    </cfRule>
    <cfRule type="containsText" priority="3" operator="containsText" dxfId="2" stopIfTrue="0" text="Reserve">
      <formula>NOT(ISERROR(SEARCH("Reserve",Q2)))</formula>
    </cfRule>
    <cfRule type="containsText" priority="4" operator="containsText" dxfId="3" stopIfTrue="0" text="Vendu">
      <formula>NOT(ISERROR(SEARCH("Vendu",Q2)))</formula>
    </cfRule>
    <cfRule type="containsText" priority="5" operator="containsText" dxfId="4" stopIfTrue="0" text="Bloque">
      <formula>NOT(ISERROR(SEARCH("Bloque",Q2)))</formula>
    </cfRule>
  </conditionalFormatting>
  <dataValidations count="8">
    <dataValidation sqref="E2:E440" showDropDown="0" showInputMessage="0" showErrorMessage="1" allowBlank="1" errorTitle="Saisie invalide" error="Valeur non autorisee. Choisir dans la liste deroulante." type="list">
      <formula1>"Studio,F2,F3,F4,F5,Duplex,Bureau,Commerce"</formula1>
    </dataValidation>
    <dataValidation sqref="K2:K440" showDropDown="0" showInputMessage="0" showErrorMessage="1" allowBlank="1" errorTitle="Saisie invalide" error="Valeur non autorisee. Choisir dans la liste deroulante." type="list">
      <formula1>"Rue,Cour,Jardin,Double orientation,Angle"</formula1>
    </dataValidation>
    <dataValidation sqref="L2:L440" showDropDown="0" showInputMessage="0" showErrorMessage="1" allowBlank="1" errorTitle="Saisie invalide" error="Valeur non autorisee. Choisir dans la liste deroulante." type="list">
      <formula1>"Nord,Nord-Est,Est,Sud-Est,Sud,Sud-Ouest,Ouest,Nord-Ouest"</formula1>
    </dataValidation>
    <dataValidation sqref="Q2:Q440" showDropDown="0" showInputMessage="0" showErrorMessage="1" allowBlank="1" errorTitle="Saisie invalide" error="Valeur non autorisee. Choisir dans la liste deroulante." type="list">
      <formula1>"Disponible,Optionne,Reserve,Vendu,Bloque"</formula1>
    </dataValidation>
    <dataValidation sqref="M2:M440" showDropDown="0" showInputMessage="0" showErrorMessage="1" allowBlank="1" errorTitle="Saisie invalide" error="Valeur non autorisee. Choisir dans la liste deroulante." type="list">
      <formula1>"Oui,Non"</formula1>
    </dataValidation>
    <dataValidation sqref="N2:N440" showDropDown="0" showInputMessage="0" showErrorMessage="1" allowBlank="1" errorTitle="Saisie invalide" error="Valeur non autorisee. Choisir dans la liste deroulante." type="list">
      <formula1>"Aucun,Sous-sol,Exterieur,Box"</formula1>
    </dataValidation>
    <dataValidation sqref="C2:C440" showDropDown="0" showInputMessage="0" showErrorMessage="1" allowBlank="1" errorTitle="Saisie invalide" error="Valeur non autorisee. Choisir dans la liste deroulante." type="list">
      <formula1>"RDC,1,2,3,4"</formula1>
    </dataValidation>
    <dataValidation sqref="B2:B440" showDropDown="0" showInputMessage="0" showErrorMessage="1" allowBlank="1" errorTitle="Saisie invalide" error="Valeur non autorisee. Choisir dans la liste deroulante.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Valeurs autorisees dans les listes deroulantes de l'onglet Lots</t>
        </is>
      </c>
    </row>
    <row r="2">
      <c r="A2" s="27" t="inlineStr">
        <is>
          <t>Pour ajouter un immeuble ou un niveau, prevenir le developpeur : la liste est aussi cablee cote site.</t>
        </is>
      </c>
    </row>
    <row r="4">
      <c r="A4" s="28" t="inlineStr">
        <is>
          <t>typologie</t>
        </is>
      </c>
      <c r="B4" s="28" t="inlineStr">
        <is>
          <t>orientation</t>
        </is>
      </c>
      <c r="C4" s="28" t="inlineStr">
        <is>
          <t>exposition</t>
        </is>
      </c>
      <c r="D4" s="28" t="inlineStr">
        <is>
          <t>statut</t>
        </is>
      </c>
      <c r="E4" s="28" t="inlineStr">
        <is>
          <t>ascenseur</t>
        </is>
      </c>
      <c r="F4" s="28" t="inlineStr">
        <is>
          <t>parking</t>
        </is>
      </c>
      <c r="G4" s="28" t="inlineStr">
        <is>
          <t>niveau</t>
        </is>
      </c>
      <c r="H4" s="28" t="inlineStr">
        <is>
          <t>immeuble</t>
        </is>
      </c>
    </row>
    <row r="5">
      <c r="A5" s="29" t="inlineStr">
        <is>
          <t>Studio</t>
        </is>
      </c>
      <c r="B5" s="29" t="inlineStr">
        <is>
          <t>Rue</t>
        </is>
      </c>
      <c r="C5" s="29" t="inlineStr">
        <is>
          <t>Nord</t>
        </is>
      </c>
      <c r="D5" s="29" t="inlineStr">
        <is>
          <t>Disponible</t>
        </is>
      </c>
      <c r="E5" s="29" t="inlineStr">
        <is>
          <t>Oui</t>
        </is>
      </c>
      <c r="F5" s="29" t="inlineStr">
        <is>
          <t>Aucun</t>
        </is>
      </c>
      <c r="G5" s="29" t="inlineStr">
        <is>
          <t>RDC</t>
        </is>
      </c>
      <c r="H5" s="29" t="inlineStr">
        <is>
          <t>A</t>
        </is>
      </c>
    </row>
    <row r="6">
      <c r="A6" s="29" t="inlineStr">
        <is>
          <t>F2</t>
        </is>
      </c>
      <c r="B6" s="29" t="inlineStr">
        <is>
          <t>Cour</t>
        </is>
      </c>
      <c r="C6" s="29" t="inlineStr">
        <is>
          <t>Nord-Est</t>
        </is>
      </c>
      <c r="D6" s="29" t="inlineStr">
        <is>
          <t>Optionne</t>
        </is>
      </c>
      <c r="E6" s="29" t="inlineStr">
        <is>
          <t>Non</t>
        </is>
      </c>
      <c r="F6" s="29" t="inlineStr">
        <is>
          <t>Sous-sol</t>
        </is>
      </c>
      <c r="G6" s="29" t="inlineStr">
        <is>
          <t>1</t>
        </is>
      </c>
      <c r="H6" s="29" t="inlineStr">
        <is>
          <t>B</t>
        </is>
      </c>
    </row>
    <row r="7">
      <c r="A7" s="29" t="inlineStr">
        <is>
          <t>F3</t>
        </is>
      </c>
      <c r="B7" s="29" t="inlineStr">
        <is>
          <t>Jardin</t>
        </is>
      </c>
      <c r="C7" s="29" t="inlineStr">
        <is>
          <t>Est</t>
        </is>
      </c>
      <c r="D7" s="29" t="inlineStr">
        <is>
          <t>Reserve</t>
        </is>
      </c>
      <c r="F7" s="29" t="inlineStr">
        <is>
          <t>Exterieur</t>
        </is>
      </c>
      <c r="G7" s="29" t="inlineStr">
        <is>
          <t>2</t>
        </is>
      </c>
    </row>
    <row r="8">
      <c r="A8" s="29" t="inlineStr">
        <is>
          <t>F4</t>
        </is>
      </c>
      <c r="B8" s="29" t="inlineStr">
        <is>
          <t>Double orientation</t>
        </is>
      </c>
      <c r="C8" s="29" t="inlineStr">
        <is>
          <t>Sud-Est</t>
        </is>
      </c>
      <c r="D8" s="29" t="inlineStr">
        <is>
          <t>Vendu</t>
        </is>
      </c>
      <c r="F8" s="29" t="inlineStr">
        <is>
          <t>Box</t>
        </is>
      </c>
      <c r="G8" s="29" t="inlineStr">
        <is>
          <t>3</t>
        </is>
      </c>
    </row>
    <row r="9">
      <c r="A9" s="29" t="inlineStr">
        <is>
          <t>F5</t>
        </is>
      </c>
      <c r="B9" s="29" t="inlineStr">
        <is>
          <t>Angle</t>
        </is>
      </c>
      <c r="C9" s="29" t="inlineStr">
        <is>
          <t>Sud</t>
        </is>
      </c>
      <c r="D9" s="29" t="inlineStr">
        <is>
          <t>Bloque</t>
        </is>
      </c>
      <c r="G9" s="29" t="inlineStr">
        <is>
          <t>4</t>
        </is>
      </c>
    </row>
    <row r="10">
      <c r="A10" s="29" t="inlineStr">
        <is>
          <t>Duplex</t>
        </is>
      </c>
      <c r="C10" s="29" t="inlineStr">
        <is>
          <t>Sud-Ouest</t>
        </is>
      </c>
    </row>
    <row r="11">
      <c r="A11" s="29" t="inlineStr">
        <is>
          <t>Bureau</t>
        </is>
      </c>
      <c r="C11" s="29" t="inlineStr">
        <is>
          <t>Ouest</t>
        </is>
      </c>
    </row>
    <row r="12">
      <c r="A12" s="29" t="inlineStr">
        <is>
          <t>Commerce</t>
        </is>
      </c>
      <c r="C12" s="29" t="inlineStr">
        <is>
          <t>Nord-Ouest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2026-08-02T09:52:23Z</dcterms:created>
  <dcterms:modified xsi:type="dcterms:W3CDTF">2026-08-14T10:25:28Z</dcterms:modified>
</cp:coreProperties>
</file>