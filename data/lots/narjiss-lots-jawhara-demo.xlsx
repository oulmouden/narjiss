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Lots" sheetId="2" state="visible" r:id="rId2"/>
    <sheet name="Synthese" sheetId="3" state="visible" r:id="rId3"/>
    <sheet name="Listes" sheetId="4" state="visible" r:id="rId4"/>
  </sheets>
  <definedNames>
    <definedName name="_xlnm._FilterDatabase" localSheetId="1" hidden="1">'Lots'!$A$1:$T$91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0"/>
    </font>
    <font>
      <name val="Arial"/>
      <b val="1"/>
      <color rgb="001F5C3A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5B7C8D"/>
      </patternFill>
    </fill>
    <fill>
      <patternFill patternType="solid">
        <fgColor rgb="008A8A8A"/>
      </patternFill>
    </fill>
    <fill>
      <patternFill patternType="solid">
        <fgColor rgb="00EFEFEF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6E6E6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indent="1"/>
    </xf>
    <xf numFmtId="0" fontId="8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 indent="1"/>
    </xf>
    <xf numFmtId="0" fontId="0" fillId="0" borderId="4" pivotButton="0" quotePrefix="0" xfId="0"/>
    <xf numFmtId="165" fontId="3" fillId="0" borderId="1" applyAlignment="1" pivotButton="0" quotePrefix="0" xfId="0">
      <alignment horizontal="right" inden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74" customWidth="1" min="4" max="4"/>
  </cols>
  <sheetData>
    <row r="1" ht="30" customHeight="1">
      <c r="A1" s="1" t="inlineStr">
        <is>
          <t>NARJISS IMMOBILIERE - Grille de commercialisation</t>
        </is>
      </c>
    </row>
    <row r="3">
      <c r="A3" s="2" t="inlineStr">
        <is>
          <t>Projet : Residence Al Jawhara (jawhara) - Dcheira El Jihadia, Agadir</t>
        </is>
      </c>
    </row>
    <row r="4">
      <c r="A4" s="3" t="inlineStr">
        <is>
          <t>90 lots : 3 immeubles (A, B, C) x RDC + 4 etages x 6 lots par niveau</t>
        </is>
      </c>
    </row>
    <row r="5">
      <c r="A5" s="3" t="inlineStr"/>
    </row>
    <row r="6">
      <c r="A6" s="4" t="inlineStr">
        <is>
          <t>FICHIER DE DEMONSTRATION</t>
        </is>
      </c>
    </row>
    <row r="7">
      <c r="A7" s="3" t="inlineStr">
        <is>
          <t>Toutes les donnees de ce fichier sont INVENTEES : surfaces, prix, statuts, arguments de</t>
        </is>
      </c>
    </row>
    <row r="8">
      <c r="A8" s="3" t="inlineStr">
        <is>
          <t>vente. Elles servent a faire tourner la demonstration du parcours client de bout en bout.</t>
        </is>
      </c>
    </row>
    <row r="9">
      <c r="A9" s="3" t="inlineStr">
        <is>
          <t>Elles ne doivent en aucun cas etre communiquees a un client ni servir de base a un devis.</t>
        </is>
      </c>
    </row>
    <row r="10">
      <c r="A10" s="3" t="inlineStr"/>
    </row>
    <row r="11">
      <c r="A11" s="3" t="inlineStr">
        <is>
          <t>Le jour ou le bureau de vente fournira la vraie grille, il suffira de remplacer le contenu</t>
        </is>
      </c>
    </row>
    <row r="12">
      <c r="A12" s="3" t="inlineStr">
        <is>
          <t>de l'onglet Lots : la structure des colonnes et l'import restent identiques.</t>
        </is>
      </c>
    </row>
    <row r="13">
      <c r="A13" s="3" t="inlineStr"/>
    </row>
    <row r="14">
      <c r="A14" s="4" t="inlineStr">
        <is>
          <t>COMMENT LIRE L'ONGLET LOTS</t>
        </is>
      </c>
    </row>
    <row r="15">
      <c r="A15" s="3" t="inlineStr">
        <is>
          <t>Une ligne = un lot. La colonne statut est coloree : vert = disponible, jaune = optionne,</t>
        </is>
      </c>
    </row>
    <row r="16">
      <c r="A16" s="3" t="inlineStr">
        <is>
          <t>orange = reserve, gris = vendu, rouge = bloque (logement temoin, hors commercialisation).</t>
        </is>
      </c>
    </row>
    <row r="17">
      <c r="A17" s="3" t="inlineStr">
        <is>
          <t>Les colonnes a fond vert sont obligatoires, gris-bleu facultatives, gris calculees.</t>
        </is>
      </c>
    </row>
    <row r="18">
      <c r="A18" s="3" t="inlineStr">
        <is>
          <t>numero_lot (IMMEUBLE-NIVEAU-POSITION) est la cle unique utilisee par l'import.</t>
        </is>
      </c>
    </row>
    <row r="19">
      <c r="A19" s="3" t="inlineStr"/>
    </row>
    <row r="20">
      <c r="A20" s="4" t="inlineStr">
        <is>
          <t>L'ONGLET SYNTHESE</t>
        </is>
      </c>
    </row>
    <row r="21">
      <c r="A21" s="3" t="inlineStr">
        <is>
          <t>Il se recalcule tout seul a partir de l'onglet Lots : etat des ventes par immeuble et par</t>
        </is>
      </c>
    </row>
    <row r="22">
      <c r="A22" s="3" t="inlineStr">
        <is>
          <t>typologie, chiffre d'affaires signe et restant. C'est le tableau de bord du chef de vente.</t>
        </is>
      </c>
    </row>
  </sheetData>
  <mergeCells count="21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2" customWidth="1" min="5" max="5"/>
    <col width="18" customWidth="1" min="6" max="6"/>
    <col width="15" customWidth="1" min="7" max="7"/>
    <col width="15" customWidth="1" min="8" max="8"/>
    <col width="13" customWidth="1" min="9" max="9"/>
    <col width="9" customWidth="1" min="10" max="10"/>
    <col width="20" customWidth="1" min="11" max="11"/>
    <col width="12" customWidth="1" min="12" max="12"/>
    <col width="11" customWidth="1" min="13" max="13"/>
    <col width="13" customWidth="1" min="14" max="14"/>
    <col width="14" customWidth="1" min="15" max="15"/>
    <col width="12" customWidth="1" min="16" max="16"/>
    <col width="13" customWidth="1" min="17" max="17"/>
    <col width="16" customWidth="1" min="18" max="18"/>
    <col width="30" customWidth="1" min="19" max="19"/>
    <col width="40" customWidth="1" min="20" max="20"/>
  </cols>
  <sheetData>
    <row r="1" ht="30" customHeight="1">
      <c r="A1" s="5" t="inlineStr">
        <is>
          <t>projet</t>
        </is>
      </c>
      <c r="B1" s="5" t="inlineStr">
        <is>
          <t>immeuble</t>
        </is>
      </c>
      <c r="C1" s="5" t="inlineStr">
        <is>
          <t>niveau</t>
        </is>
      </c>
      <c r="D1" s="5" t="inlineStr">
        <is>
          <t>numero_lot</t>
        </is>
      </c>
      <c r="E1" s="5" t="inlineStr">
        <is>
          <t>typologie</t>
        </is>
      </c>
      <c r="F1" s="5" t="inlineStr">
        <is>
          <t>surface_habitable</t>
        </is>
      </c>
      <c r="G1" s="6" t="inlineStr">
        <is>
          <t>surface_balcon</t>
        </is>
      </c>
      <c r="H1" s="7" t="inlineStr">
        <is>
          <t>surface_totale</t>
        </is>
      </c>
      <c r="I1" s="6" t="inlineStr">
        <is>
          <t>nb_chambres</t>
        </is>
      </c>
      <c r="J1" s="6" t="inlineStr">
        <is>
          <t>nb_sdb</t>
        </is>
      </c>
      <c r="K1" s="5" t="inlineStr">
        <is>
          <t>orientation</t>
        </is>
      </c>
      <c r="L1" s="6" t="inlineStr">
        <is>
          <t>exposition</t>
        </is>
      </c>
      <c r="M1" s="6" t="inlineStr">
        <is>
          <t>ascenseur</t>
        </is>
      </c>
      <c r="N1" s="6" t="inlineStr">
        <is>
          <t>parking</t>
        </is>
      </c>
      <c r="O1" s="5" t="inlineStr">
        <is>
          <t>prix_dh</t>
        </is>
      </c>
      <c r="P1" s="7" t="inlineStr">
        <is>
          <t>prix_m2</t>
        </is>
      </c>
      <c r="Q1" s="5" t="inlineStr">
        <is>
          <t>statut</t>
        </is>
      </c>
      <c r="R1" s="6" t="inlineStr">
        <is>
          <t>date_fin_option</t>
        </is>
      </c>
      <c r="S1" s="6" t="inlineStr">
        <is>
          <t>plan_fichier</t>
        </is>
      </c>
      <c r="T1" s="6" t="inlineStr">
        <is>
          <t>notes</t>
        </is>
      </c>
    </row>
    <row r="2">
      <c r="A2" s="8" t="inlineStr">
        <is>
          <t>jawhara</t>
        </is>
      </c>
      <c r="B2" s="8" t="inlineStr">
        <is>
          <t>A</t>
        </is>
      </c>
      <c r="C2" s="8" t="inlineStr">
        <is>
          <t>RDC</t>
        </is>
      </c>
      <c r="D2" s="9" t="inlineStr">
        <is>
          <t>A-RDC-01</t>
        </is>
      </c>
      <c r="E2" s="8" t="inlineStr">
        <is>
          <t>Commerce</t>
        </is>
      </c>
      <c r="F2" s="10" t="n">
        <v>46</v>
      </c>
      <c r="G2" s="10" t="n">
        <v>0</v>
      </c>
      <c r="H2" s="11">
        <f>F2+G2</f>
        <v/>
      </c>
      <c r="I2" s="8" t="n">
        <v>0</v>
      </c>
      <c r="J2" s="8" t="n">
        <v>1</v>
      </c>
      <c r="K2" s="8" t="inlineStr">
        <is>
          <t>Angle</t>
        </is>
      </c>
      <c r="L2" s="8" t="inlineStr">
        <is>
          <t>Sud-Ouest</t>
        </is>
      </c>
      <c r="M2" s="8" t="inlineStr">
        <is>
          <t>Oui</t>
        </is>
      </c>
      <c r="N2" s="8" t="inlineStr">
        <is>
          <t>Aucun</t>
        </is>
      </c>
      <c r="O2" s="12" t="n">
        <v>694000</v>
      </c>
      <c r="P2" s="13">
        <f>IFERROR(O2/F2,"")</f>
        <v/>
      </c>
      <c r="Q2" s="14" t="inlineStr">
        <is>
          <t>Disponible</t>
        </is>
      </c>
      <c r="R2" s="8" t="inlineStr"/>
      <c r="S2" s="15" t="inlineStr"/>
      <c r="T2" s="15" t="inlineStr">
        <is>
          <t>Local commercial avec vitrine sur la voie principale</t>
        </is>
      </c>
    </row>
    <row r="3">
      <c r="A3" s="8" t="inlineStr">
        <is>
          <t>jawhara</t>
        </is>
      </c>
      <c r="B3" s="8" t="inlineStr">
        <is>
          <t>A</t>
        </is>
      </c>
      <c r="C3" s="8" t="inlineStr">
        <is>
          <t>RDC</t>
        </is>
      </c>
      <c r="D3" s="9" t="inlineStr">
        <is>
          <t>A-RDC-02</t>
        </is>
      </c>
      <c r="E3" s="8" t="inlineStr">
        <is>
          <t>Commerce</t>
        </is>
      </c>
      <c r="F3" s="10" t="n">
        <v>46</v>
      </c>
      <c r="G3" s="10" t="n">
        <v>0</v>
      </c>
      <c r="H3" s="11">
        <f>F3+G3</f>
        <v/>
      </c>
      <c r="I3" s="8" t="n">
        <v>0</v>
      </c>
      <c r="J3" s="8" t="n">
        <v>1</v>
      </c>
      <c r="K3" s="8" t="inlineStr">
        <is>
          <t>Rue</t>
        </is>
      </c>
      <c r="L3" s="8" t="inlineStr">
        <is>
          <t>Sud-Ouest</t>
        </is>
      </c>
      <c r="M3" s="8" t="inlineStr">
        <is>
          <t>Oui</t>
        </is>
      </c>
      <c r="N3" s="8" t="inlineStr">
        <is>
          <t>Aucun</t>
        </is>
      </c>
      <c r="O3" s="12" t="n">
        <v>687000</v>
      </c>
      <c r="P3" s="13">
        <f>IFERROR(O3/F3,"")</f>
        <v/>
      </c>
      <c r="Q3" s="16" t="inlineStr">
        <is>
          <t>Optionne</t>
        </is>
      </c>
      <c r="R3" s="8" t="inlineStr">
        <is>
          <t>2026-08-14</t>
        </is>
      </c>
      <c r="S3" s="15" t="inlineStr"/>
      <c r="T3" s="15" t="inlineStr">
        <is>
          <t>Local commercial avec vitrine sur la voie principale</t>
        </is>
      </c>
    </row>
    <row r="4">
      <c r="A4" s="8" t="inlineStr">
        <is>
          <t>jawhara</t>
        </is>
      </c>
      <c r="B4" s="8" t="inlineStr">
        <is>
          <t>A</t>
        </is>
      </c>
      <c r="C4" s="8" t="inlineStr">
        <is>
          <t>RDC</t>
        </is>
      </c>
      <c r="D4" s="9" t="inlineStr">
        <is>
          <t>A-RDC-03</t>
        </is>
      </c>
      <c r="E4" s="8" t="inlineStr">
        <is>
          <t>Bureau</t>
        </is>
      </c>
      <c r="F4" s="10" t="n">
        <v>52</v>
      </c>
      <c r="G4" s="10" t="n">
        <v>0</v>
      </c>
      <c r="H4" s="11">
        <f>F4+G4</f>
        <v/>
      </c>
      <c r="I4" s="8" t="n">
        <v>0</v>
      </c>
      <c r="J4" s="8" t="n">
        <v>1</v>
      </c>
      <c r="K4" s="8" t="inlineStr">
        <is>
          <t>Rue</t>
        </is>
      </c>
      <c r="L4" s="8" t="inlineStr">
        <is>
          <t>Sud</t>
        </is>
      </c>
      <c r="M4" s="8" t="inlineStr">
        <is>
          <t>Oui</t>
        </is>
      </c>
      <c r="N4" s="8" t="inlineStr">
        <is>
          <t>Aucun</t>
        </is>
      </c>
      <c r="O4" s="12" t="n">
        <v>643000</v>
      </c>
      <c r="P4" s="13">
        <f>IFERROR(O4/F4,"")</f>
        <v/>
      </c>
      <c r="Q4" s="17" t="inlineStr">
        <is>
          <t>Vendu</t>
        </is>
      </c>
      <c r="R4" s="8" t="inlineStr"/>
      <c r="S4" s="15" t="inlineStr"/>
      <c r="T4" s="15" t="inlineStr">
        <is>
          <t>Plateau de bureau modulable, entree independante</t>
        </is>
      </c>
    </row>
    <row r="5">
      <c r="A5" s="8" t="inlineStr">
        <is>
          <t>jawhara</t>
        </is>
      </c>
      <c r="B5" s="8" t="inlineStr">
        <is>
          <t>A</t>
        </is>
      </c>
      <c r="C5" s="8" t="inlineStr">
        <is>
          <t>RDC</t>
        </is>
      </c>
      <c r="D5" s="9" t="inlineStr">
        <is>
          <t>A-RDC-04</t>
        </is>
      </c>
      <c r="E5" s="8" t="inlineStr">
        <is>
          <t>F2</t>
        </is>
      </c>
      <c r="F5" s="10" t="n">
        <v>61.5</v>
      </c>
      <c r="G5" s="10" t="n">
        <v>7</v>
      </c>
      <c r="H5" s="11">
        <f>F5+G5</f>
        <v/>
      </c>
      <c r="I5" s="8" t="n">
        <v>1</v>
      </c>
      <c r="J5" s="8" t="n">
        <v>1</v>
      </c>
      <c r="K5" s="8" t="inlineStr">
        <is>
          <t>Jardin</t>
        </is>
      </c>
      <c r="L5" s="8" t="inlineStr">
        <is>
          <t>Nord-Est</t>
        </is>
      </c>
      <c r="M5" s="8" t="inlineStr">
        <is>
          <t>Oui</t>
        </is>
      </c>
      <c r="N5" s="8" t="inlineStr">
        <is>
          <t>Exterieur</t>
        </is>
      </c>
      <c r="O5" s="12" t="n">
        <v>590000</v>
      </c>
      <c r="P5" s="13">
        <f>IFERROR(O5/F5,"")</f>
        <v/>
      </c>
      <c r="Q5" s="14" t="inlineStr">
        <is>
          <t>Disponible</t>
        </is>
      </c>
      <c r="R5" s="8" t="inlineStr"/>
      <c r="S5" s="15" t="inlineStr">
        <is>
          <t>images/projects/jawhara/plans/f2.png</t>
        </is>
      </c>
      <c r="T5" s="15" t="inlineStr">
        <is>
          <t>Acces direct au jardin interieur, ideal pour une famille</t>
        </is>
      </c>
    </row>
    <row r="6">
      <c r="A6" s="8" t="inlineStr">
        <is>
          <t>jawhara</t>
        </is>
      </c>
      <c r="B6" s="8" t="inlineStr">
        <is>
          <t>A</t>
        </is>
      </c>
      <c r="C6" s="8" t="inlineStr">
        <is>
          <t>RDC</t>
        </is>
      </c>
      <c r="D6" s="9" t="inlineStr">
        <is>
          <t>A-RDC-05</t>
        </is>
      </c>
      <c r="E6" s="8" t="inlineStr">
        <is>
          <t>F3</t>
        </is>
      </c>
      <c r="F6" s="10" t="n">
        <v>85.5</v>
      </c>
      <c r="G6" s="10" t="n">
        <v>9.5</v>
      </c>
      <c r="H6" s="11">
        <f>F6+G6</f>
        <v/>
      </c>
      <c r="I6" s="8" t="n">
        <v>2</v>
      </c>
      <c r="J6" s="8" t="n">
        <v>2</v>
      </c>
      <c r="K6" s="8" t="inlineStr">
        <is>
          <t>Jardin</t>
        </is>
      </c>
      <c r="L6" s="8" t="inlineStr">
        <is>
          <t>Nord-Est</t>
        </is>
      </c>
      <c r="M6" s="8" t="inlineStr">
        <is>
          <t>Oui</t>
        </is>
      </c>
      <c r="N6" s="8" t="inlineStr">
        <is>
          <t>Exterieur</t>
        </is>
      </c>
      <c r="O6" s="12" t="n">
        <v>794000</v>
      </c>
      <c r="P6" s="13">
        <f>IFERROR(O6/F6,"")</f>
        <v/>
      </c>
      <c r="Q6" s="18" t="inlineStr">
        <is>
          <t>Reserve</t>
        </is>
      </c>
      <c r="R6" s="8" t="inlineStr"/>
      <c r="S6" s="15" t="inlineStr">
        <is>
          <t>images/projects/jawhara/plans/f3.png</t>
        </is>
      </c>
      <c r="T6" s="15" t="inlineStr">
        <is>
          <t>Acces direct au jardin interieur, ideal pour une famille</t>
        </is>
      </c>
    </row>
    <row r="7">
      <c r="A7" s="8" t="inlineStr">
        <is>
          <t>jawhara</t>
        </is>
      </c>
      <c r="B7" s="8" t="inlineStr">
        <is>
          <t>A</t>
        </is>
      </c>
      <c r="C7" s="8" t="inlineStr">
        <is>
          <t>RDC</t>
        </is>
      </c>
      <c r="D7" s="9" t="inlineStr">
        <is>
          <t>A-RDC-06</t>
        </is>
      </c>
      <c r="E7" s="8" t="inlineStr">
        <is>
          <t>F2</t>
        </is>
      </c>
      <c r="F7" s="10" t="n">
        <v>61.5</v>
      </c>
      <c r="G7" s="10" t="n">
        <v>7</v>
      </c>
      <c r="H7" s="11">
        <f>F7+G7</f>
        <v/>
      </c>
      <c r="I7" s="8" t="n">
        <v>1</v>
      </c>
      <c r="J7" s="8" t="n">
        <v>1</v>
      </c>
      <c r="K7" s="8" t="inlineStr">
        <is>
          <t>Cour</t>
        </is>
      </c>
      <c r="L7" s="8" t="inlineStr">
        <is>
          <t>Nord</t>
        </is>
      </c>
      <c r="M7" s="8" t="inlineStr">
        <is>
          <t>Oui</t>
        </is>
      </c>
      <c r="N7" s="8" t="inlineStr">
        <is>
          <t>Exterieur</t>
        </is>
      </c>
      <c r="O7" s="12" t="n">
        <v>578000</v>
      </c>
      <c r="P7" s="13">
        <f>IFERROR(O7/F7,"")</f>
        <v/>
      </c>
      <c r="Q7" s="17" t="inlineStr">
        <is>
          <t>Vendu</t>
        </is>
      </c>
      <c r="R7" s="8" t="inlineStr"/>
      <c r="S7" s="15" t="inlineStr">
        <is>
          <t>images/projects/jawhara/plans/f2.png</t>
        </is>
      </c>
      <c r="T7" s="15" t="inlineStr"/>
    </row>
    <row r="8">
      <c r="A8" s="8" t="inlineStr">
        <is>
          <t>jawhara</t>
        </is>
      </c>
      <c r="B8" s="8" t="inlineStr">
        <is>
          <t>A</t>
        </is>
      </c>
      <c r="C8" s="8" t="inlineStr">
        <is>
          <t>1</t>
        </is>
      </c>
      <c r="D8" s="9" t="inlineStr">
        <is>
          <t>A-1-01</t>
        </is>
      </c>
      <c r="E8" s="8" t="inlineStr">
        <is>
          <t>F3</t>
        </is>
      </c>
      <c r="F8" s="10" t="n">
        <v>84</v>
      </c>
      <c r="G8" s="10" t="n">
        <v>9.5</v>
      </c>
      <c r="H8" s="11">
        <f>F8+G8</f>
        <v/>
      </c>
      <c r="I8" s="8" t="n">
        <v>2</v>
      </c>
      <c r="J8" s="8" t="n">
        <v>2</v>
      </c>
      <c r="K8" s="8" t="inlineStr">
        <is>
          <t>Rue</t>
        </is>
      </c>
      <c r="L8" s="8" t="inlineStr">
        <is>
          <t>Sud-Ouest</t>
        </is>
      </c>
      <c r="M8" s="8" t="inlineStr">
        <is>
          <t>Oui</t>
        </is>
      </c>
      <c r="N8" s="8" t="inlineStr">
        <is>
          <t>Sous-sol</t>
        </is>
      </c>
      <c r="O8" s="12" t="n">
        <v>803000</v>
      </c>
      <c r="P8" s="13">
        <f>IFERROR(O8/F8,"")</f>
        <v/>
      </c>
      <c r="Q8" s="17" t="inlineStr">
        <is>
          <t>Vendu</t>
        </is>
      </c>
      <c r="R8" s="8" t="inlineStr"/>
      <c r="S8" s="15" t="inlineStr">
        <is>
          <t>images/projects/jawhara/plans/f3.png</t>
        </is>
      </c>
      <c r="T8" s="15" t="inlineStr"/>
    </row>
    <row r="9">
      <c r="A9" s="8" t="inlineStr">
        <is>
          <t>jawhara</t>
        </is>
      </c>
      <c r="B9" s="8" t="inlineStr">
        <is>
          <t>A</t>
        </is>
      </c>
      <c r="C9" s="8" t="inlineStr">
        <is>
          <t>1</t>
        </is>
      </c>
      <c r="D9" s="9" t="inlineStr">
        <is>
          <t>A-1-02</t>
        </is>
      </c>
      <c r="E9" s="8" t="inlineStr">
        <is>
          <t>F2</t>
        </is>
      </c>
      <c r="F9" s="10" t="n">
        <v>61.5</v>
      </c>
      <c r="G9" s="10" t="n">
        <v>7</v>
      </c>
      <c r="H9" s="11">
        <f>F9+G9</f>
        <v/>
      </c>
      <c r="I9" s="8" t="n">
        <v>1</v>
      </c>
      <c r="J9" s="8" t="n">
        <v>1</v>
      </c>
      <c r="K9" s="8" t="inlineStr">
        <is>
          <t>Rue</t>
        </is>
      </c>
      <c r="L9" s="8" t="inlineStr">
        <is>
          <t>Sud-Ouest</t>
        </is>
      </c>
      <c r="M9" s="8" t="inlineStr">
        <is>
          <t>Oui</t>
        </is>
      </c>
      <c r="N9" s="8" t="inlineStr">
        <is>
          <t>Sous-sol</t>
        </is>
      </c>
      <c r="O9" s="12" t="n">
        <v>607000</v>
      </c>
      <c r="P9" s="13">
        <f>IFERROR(O9/F9,"")</f>
        <v/>
      </c>
      <c r="Q9" s="14" t="inlineStr">
        <is>
          <t>Disponible</t>
        </is>
      </c>
      <c r="R9" s="8" t="inlineStr"/>
      <c r="S9" s="15" t="inlineStr">
        <is>
          <t>images/projects/jawhara/plans/f2.png</t>
        </is>
      </c>
      <c r="T9" s="15" t="inlineStr"/>
    </row>
    <row r="10">
      <c r="A10" s="8" t="inlineStr">
        <is>
          <t>jawhara</t>
        </is>
      </c>
      <c r="B10" s="8" t="inlineStr">
        <is>
          <t>A</t>
        </is>
      </c>
      <c r="C10" s="8" t="inlineStr">
        <is>
          <t>1</t>
        </is>
      </c>
      <c r="D10" s="9" t="inlineStr">
        <is>
          <t>A-1-03</t>
        </is>
      </c>
      <c r="E10" s="8" t="inlineStr">
        <is>
          <t>Studio</t>
        </is>
      </c>
      <c r="F10" s="10" t="n">
        <v>34.5</v>
      </c>
      <c r="G10" s="10" t="n">
        <v>4</v>
      </c>
      <c r="H10" s="11">
        <f>F10+G10</f>
        <v/>
      </c>
      <c r="I10" s="8" t="n">
        <v>0</v>
      </c>
      <c r="J10" s="8" t="n">
        <v>1</v>
      </c>
      <c r="K10" s="8" t="inlineStr">
        <is>
          <t>Cour</t>
        </is>
      </c>
      <c r="L10" s="8" t="inlineStr">
        <is>
          <t>Nord</t>
        </is>
      </c>
      <c r="M10" s="8" t="inlineStr">
        <is>
          <t>Oui</t>
        </is>
      </c>
      <c r="N10" s="8" t="inlineStr">
        <is>
          <t>Sous-sol</t>
        </is>
      </c>
      <c r="O10" s="12" t="n">
        <v>345000</v>
      </c>
      <c r="P10" s="13">
        <f>IFERROR(O10/F10,"")</f>
        <v/>
      </c>
      <c r="Q10" s="17" t="inlineStr">
        <is>
          <t>Vendu</t>
        </is>
      </c>
      <c r="R10" s="8" t="inlineStr"/>
      <c r="S10" s="15" t="inlineStr">
        <is>
          <t>images/projects/jawhara/plans/studio.png</t>
        </is>
      </c>
      <c r="T10" s="15" t="inlineStr"/>
    </row>
    <row r="11">
      <c r="A11" s="8" t="inlineStr">
        <is>
          <t>jawhara</t>
        </is>
      </c>
      <c r="B11" s="8" t="inlineStr">
        <is>
          <t>A</t>
        </is>
      </c>
      <c r="C11" s="8" t="inlineStr">
        <is>
          <t>1</t>
        </is>
      </c>
      <c r="D11" s="9" t="inlineStr">
        <is>
          <t>A-1-04</t>
        </is>
      </c>
      <c r="E11" s="8" t="inlineStr">
        <is>
          <t>F3</t>
        </is>
      </c>
      <c r="F11" s="10" t="n">
        <v>84</v>
      </c>
      <c r="G11" s="10" t="n">
        <v>9.5</v>
      </c>
      <c r="H11" s="11">
        <f>F11+G11</f>
        <v/>
      </c>
      <c r="I11" s="8" t="n">
        <v>2</v>
      </c>
      <c r="J11" s="8" t="n">
        <v>2</v>
      </c>
      <c r="K11" s="8" t="inlineStr">
        <is>
          <t>Cour</t>
        </is>
      </c>
      <c r="L11" s="8" t="inlineStr">
        <is>
          <t>Nord-Est</t>
        </is>
      </c>
      <c r="M11" s="8" t="inlineStr">
        <is>
          <t>Oui</t>
        </is>
      </c>
      <c r="N11" s="8" t="inlineStr">
        <is>
          <t>Sous-sol</t>
        </is>
      </c>
      <c r="O11" s="12" t="n">
        <v>780000</v>
      </c>
      <c r="P11" s="13">
        <f>IFERROR(O11/F11,"")</f>
        <v/>
      </c>
      <c r="Q11" s="17" t="inlineStr">
        <is>
          <t>Vendu</t>
        </is>
      </c>
      <c r="R11" s="8" t="inlineStr"/>
      <c r="S11" s="15" t="inlineStr">
        <is>
          <t>images/projects/jawhara/plans/f3.png</t>
        </is>
      </c>
      <c r="T11" s="15" t="inlineStr"/>
    </row>
    <row r="12">
      <c r="A12" s="8" t="inlineStr">
        <is>
          <t>jawhara</t>
        </is>
      </c>
      <c r="B12" s="8" t="inlineStr">
        <is>
          <t>A</t>
        </is>
      </c>
      <c r="C12" s="8" t="inlineStr">
        <is>
          <t>1</t>
        </is>
      </c>
      <c r="D12" s="9" t="inlineStr">
        <is>
          <t>A-1-05</t>
        </is>
      </c>
      <c r="E12" s="8" t="inlineStr">
        <is>
          <t>F4</t>
        </is>
      </c>
      <c r="F12" s="10" t="n">
        <v>109.5</v>
      </c>
      <c r="G12" s="10" t="n">
        <v>12</v>
      </c>
      <c r="H12" s="11">
        <f>F12+G12</f>
        <v/>
      </c>
      <c r="I12" s="8" t="n">
        <v>3</v>
      </c>
      <c r="J12" s="8" t="n">
        <v>2</v>
      </c>
      <c r="K12" s="8" t="inlineStr">
        <is>
          <t>Double orientation</t>
        </is>
      </c>
      <c r="L12" s="8" t="inlineStr">
        <is>
          <t>Est</t>
        </is>
      </c>
      <c r="M12" s="8" t="inlineStr">
        <is>
          <t>Oui</t>
        </is>
      </c>
      <c r="N12" s="8" t="inlineStr">
        <is>
          <t>Sous-sol</t>
        </is>
      </c>
      <c r="O12" s="12" t="n">
        <v>1044000</v>
      </c>
      <c r="P12" s="13">
        <f>IFERROR(O12/F12,"")</f>
        <v/>
      </c>
      <c r="Q12" s="18" t="inlineStr">
        <is>
          <t>Reserve</t>
        </is>
      </c>
      <c r="R12" s="8" t="inlineStr"/>
      <c r="S12" s="15" t="inlineStr">
        <is>
          <t>images/projects/jawhara/plans/f4.png</t>
        </is>
      </c>
      <c r="T12" s="15" t="inlineStr">
        <is>
          <t>Traversant : lumiere du matin et du soir</t>
        </is>
      </c>
    </row>
    <row r="13">
      <c r="A13" s="8" t="inlineStr">
        <is>
          <t>jawhara</t>
        </is>
      </c>
      <c r="B13" s="8" t="inlineStr">
        <is>
          <t>A</t>
        </is>
      </c>
      <c r="C13" s="8" t="inlineStr">
        <is>
          <t>1</t>
        </is>
      </c>
      <c r="D13" s="9" t="inlineStr">
        <is>
          <t>A-1-06</t>
        </is>
      </c>
      <c r="E13" s="8" t="inlineStr">
        <is>
          <t>F2</t>
        </is>
      </c>
      <c r="F13" s="10" t="n">
        <v>61.5</v>
      </c>
      <c r="G13" s="10" t="n">
        <v>7</v>
      </c>
      <c r="H13" s="11">
        <f>F13+G13</f>
        <v/>
      </c>
      <c r="I13" s="8" t="n">
        <v>1</v>
      </c>
      <c r="J13" s="8" t="n">
        <v>1</v>
      </c>
      <c r="K13" s="8" t="inlineStr">
        <is>
          <t>Angle</t>
        </is>
      </c>
      <c r="L13" s="8" t="inlineStr">
        <is>
          <t>Nord-Ouest</t>
        </is>
      </c>
      <c r="M13" s="8" t="inlineStr">
        <is>
          <t>Oui</t>
        </is>
      </c>
      <c r="N13" s="8" t="inlineStr">
        <is>
          <t>Sous-sol</t>
        </is>
      </c>
      <c r="O13" s="12" t="n">
        <v>613000</v>
      </c>
      <c r="P13" s="13">
        <f>IFERROR(O13/F13,"")</f>
        <v/>
      </c>
      <c r="Q13" s="17" t="inlineStr">
        <is>
          <t>Vendu</t>
        </is>
      </c>
      <c r="R13" s="8" t="inlineStr"/>
      <c r="S13" s="15" t="inlineStr">
        <is>
          <t>images/projects/jawhara/plans/f2.png</t>
        </is>
      </c>
      <c r="T13" s="15" t="inlineStr">
        <is>
          <t>Appartement d'angle, deux facades</t>
        </is>
      </c>
    </row>
    <row r="14">
      <c r="A14" s="8" t="inlineStr">
        <is>
          <t>jawhara</t>
        </is>
      </c>
      <c r="B14" s="8" t="inlineStr">
        <is>
          <t>A</t>
        </is>
      </c>
      <c r="C14" s="8" t="inlineStr">
        <is>
          <t>2</t>
        </is>
      </c>
      <c r="D14" s="9" t="inlineStr">
        <is>
          <t>A-2-01</t>
        </is>
      </c>
      <c r="E14" s="8" t="inlineStr">
        <is>
          <t>F3</t>
        </is>
      </c>
      <c r="F14" s="10" t="n">
        <v>84</v>
      </c>
      <c r="G14" s="10" t="n">
        <v>9.5</v>
      </c>
      <c r="H14" s="11">
        <f>F14+G14</f>
        <v/>
      </c>
      <c r="I14" s="8" t="n">
        <v>2</v>
      </c>
      <c r="J14" s="8" t="n">
        <v>2</v>
      </c>
      <c r="K14" s="8" t="inlineStr">
        <is>
          <t>Rue</t>
        </is>
      </c>
      <c r="L14" s="8" t="inlineStr">
        <is>
          <t>Sud-Ouest</t>
        </is>
      </c>
      <c r="M14" s="8" t="inlineStr">
        <is>
          <t>Oui</t>
        </is>
      </c>
      <c r="N14" s="8" t="inlineStr">
        <is>
          <t>Sous-sol</t>
        </is>
      </c>
      <c r="O14" s="12" t="n">
        <v>819000</v>
      </c>
      <c r="P14" s="13">
        <f>IFERROR(O14/F14,"")</f>
        <v/>
      </c>
      <c r="Q14" s="18" t="inlineStr">
        <is>
          <t>Reserve</t>
        </is>
      </c>
      <c r="R14" s="8" t="inlineStr"/>
      <c r="S14" s="15" t="inlineStr">
        <is>
          <t>images/projects/jawhara/plans/f3.png</t>
        </is>
      </c>
      <c r="T14" s="15" t="inlineStr"/>
    </row>
    <row r="15">
      <c r="A15" s="8" t="inlineStr">
        <is>
          <t>jawhara</t>
        </is>
      </c>
      <c r="B15" s="8" t="inlineStr">
        <is>
          <t>A</t>
        </is>
      </c>
      <c r="C15" s="8" t="inlineStr">
        <is>
          <t>2</t>
        </is>
      </c>
      <c r="D15" s="9" t="inlineStr">
        <is>
          <t>A-2-02</t>
        </is>
      </c>
      <c r="E15" s="8" t="inlineStr">
        <is>
          <t>F2</t>
        </is>
      </c>
      <c r="F15" s="10" t="n">
        <v>61.5</v>
      </c>
      <c r="G15" s="10" t="n">
        <v>7</v>
      </c>
      <c r="H15" s="11">
        <f>F15+G15</f>
        <v/>
      </c>
      <c r="I15" s="8" t="n">
        <v>1</v>
      </c>
      <c r="J15" s="8" t="n">
        <v>1</v>
      </c>
      <c r="K15" s="8" t="inlineStr">
        <is>
          <t>Rue</t>
        </is>
      </c>
      <c r="L15" s="8" t="inlineStr">
        <is>
          <t>Sud-Ouest</t>
        </is>
      </c>
      <c r="M15" s="8" t="inlineStr">
        <is>
          <t>Oui</t>
        </is>
      </c>
      <c r="N15" s="8" t="inlineStr">
        <is>
          <t>Sous-sol</t>
        </is>
      </c>
      <c r="O15" s="12" t="n">
        <v>619000</v>
      </c>
      <c r="P15" s="13">
        <f>IFERROR(O15/F15,"")</f>
        <v/>
      </c>
      <c r="Q15" s="14" t="inlineStr">
        <is>
          <t>Disponible</t>
        </is>
      </c>
      <c r="R15" s="8" t="inlineStr"/>
      <c r="S15" s="15" t="inlineStr">
        <is>
          <t>images/projects/jawhara/plans/f2.png</t>
        </is>
      </c>
      <c r="T15" s="15" t="inlineStr"/>
    </row>
    <row r="16">
      <c r="A16" s="8" t="inlineStr">
        <is>
          <t>jawhara</t>
        </is>
      </c>
      <c r="B16" s="8" t="inlineStr">
        <is>
          <t>A</t>
        </is>
      </c>
      <c r="C16" s="8" t="inlineStr">
        <is>
          <t>2</t>
        </is>
      </c>
      <c r="D16" s="9" t="inlineStr">
        <is>
          <t>A-2-03</t>
        </is>
      </c>
      <c r="E16" s="8" t="inlineStr">
        <is>
          <t>Studio</t>
        </is>
      </c>
      <c r="F16" s="10" t="n">
        <v>34.5</v>
      </c>
      <c r="G16" s="10" t="n">
        <v>4</v>
      </c>
      <c r="H16" s="11">
        <f>F16+G16</f>
        <v/>
      </c>
      <c r="I16" s="8" t="n">
        <v>0</v>
      </c>
      <c r="J16" s="8" t="n">
        <v>1</v>
      </c>
      <c r="K16" s="8" t="inlineStr">
        <is>
          <t>Cour</t>
        </is>
      </c>
      <c r="L16" s="8" t="inlineStr">
        <is>
          <t>Nord</t>
        </is>
      </c>
      <c r="M16" s="8" t="inlineStr">
        <is>
          <t>Oui</t>
        </is>
      </c>
      <c r="N16" s="8" t="inlineStr">
        <is>
          <t>Sous-sol</t>
        </is>
      </c>
      <c r="O16" s="12" t="n">
        <v>352000</v>
      </c>
      <c r="P16" s="13">
        <f>IFERROR(O16/F16,"")</f>
        <v/>
      </c>
      <c r="Q16" s="19" t="inlineStr">
        <is>
          <t>Bloque</t>
        </is>
      </c>
      <c r="R16" s="8" t="inlineStr"/>
      <c r="S16" s="15" t="inlineStr">
        <is>
          <t>images/projects/jawhara/plans/studio.png</t>
        </is>
      </c>
      <c r="T16" s="15" t="inlineStr">
        <is>
          <t>Logement temoin, non commercialise</t>
        </is>
      </c>
    </row>
    <row r="17">
      <c r="A17" s="8" t="inlineStr">
        <is>
          <t>jawhara</t>
        </is>
      </c>
      <c r="B17" s="8" t="inlineStr">
        <is>
          <t>A</t>
        </is>
      </c>
      <c r="C17" s="8" t="inlineStr">
        <is>
          <t>2</t>
        </is>
      </c>
      <c r="D17" s="9" t="inlineStr">
        <is>
          <t>A-2-04</t>
        </is>
      </c>
      <c r="E17" s="8" t="inlineStr">
        <is>
          <t>F3</t>
        </is>
      </c>
      <c r="F17" s="10" t="n">
        <v>84</v>
      </c>
      <c r="G17" s="10" t="n">
        <v>9.5</v>
      </c>
      <c r="H17" s="11">
        <f>F17+G17</f>
        <v/>
      </c>
      <c r="I17" s="8" t="n">
        <v>2</v>
      </c>
      <c r="J17" s="8" t="n">
        <v>2</v>
      </c>
      <c r="K17" s="8" t="inlineStr">
        <is>
          <t>Cour</t>
        </is>
      </c>
      <c r="L17" s="8" t="inlineStr">
        <is>
          <t>Nord-Est</t>
        </is>
      </c>
      <c r="M17" s="8" t="inlineStr">
        <is>
          <t>Oui</t>
        </is>
      </c>
      <c r="N17" s="8" t="inlineStr">
        <is>
          <t>Sous-sol</t>
        </is>
      </c>
      <c r="O17" s="12" t="n">
        <v>795000</v>
      </c>
      <c r="P17" s="13">
        <f>IFERROR(O17/F17,"")</f>
        <v/>
      </c>
      <c r="Q17" s="18" t="inlineStr">
        <is>
          <t>Reserve</t>
        </is>
      </c>
      <c r="R17" s="8" t="inlineStr"/>
      <c r="S17" s="15" t="inlineStr">
        <is>
          <t>images/projects/jawhara/plans/f3.png</t>
        </is>
      </c>
      <c r="T17" s="15" t="inlineStr"/>
    </row>
    <row r="18">
      <c r="A18" s="8" t="inlineStr">
        <is>
          <t>jawhara</t>
        </is>
      </c>
      <c r="B18" s="8" t="inlineStr">
        <is>
          <t>A</t>
        </is>
      </c>
      <c r="C18" s="8" t="inlineStr">
        <is>
          <t>2</t>
        </is>
      </c>
      <c r="D18" s="9" t="inlineStr">
        <is>
          <t>A-2-05</t>
        </is>
      </c>
      <c r="E18" s="8" t="inlineStr">
        <is>
          <t>F4</t>
        </is>
      </c>
      <c r="F18" s="10" t="n">
        <v>109.5</v>
      </c>
      <c r="G18" s="10" t="n">
        <v>12</v>
      </c>
      <c r="H18" s="11">
        <f>F18+G18</f>
        <v/>
      </c>
      <c r="I18" s="8" t="n">
        <v>3</v>
      </c>
      <c r="J18" s="8" t="n">
        <v>2</v>
      </c>
      <c r="K18" s="8" t="inlineStr">
        <is>
          <t>Double orientation</t>
        </is>
      </c>
      <c r="L18" s="8" t="inlineStr">
        <is>
          <t>Est</t>
        </is>
      </c>
      <c r="M18" s="8" t="inlineStr">
        <is>
          <t>Oui</t>
        </is>
      </c>
      <c r="N18" s="8" t="inlineStr">
        <is>
          <t>Sous-sol</t>
        </is>
      </c>
      <c r="O18" s="12" t="n">
        <v>1064000</v>
      </c>
      <c r="P18" s="13">
        <f>IFERROR(O18/F18,"")</f>
        <v/>
      </c>
      <c r="Q18" s="14" t="inlineStr">
        <is>
          <t>Disponible</t>
        </is>
      </c>
      <c r="R18" s="8" t="inlineStr"/>
      <c r="S18" s="15" t="inlineStr">
        <is>
          <t>images/projects/jawhara/plans/f4.png</t>
        </is>
      </c>
      <c r="T18" s="15" t="inlineStr">
        <is>
          <t>Traversant : lumiere du matin et du soir</t>
        </is>
      </c>
    </row>
    <row r="19">
      <c r="A19" s="8" t="inlineStr">
        <is>
          <t>jawhara</t>
        </is>
      </c>
      <c r="B19" s="8" t="inlineStr">
        <is>
          <t>A</t>
        </is>
      </c>
      <c r="C19" s="8" t="inlineStr">
        <is>
          <t>2</t>
        </is>
      </c>
      <c r="D19" s="9" t="inlineStr">
        <is>
          <t>A-2-06</t>
        </is>
      </c>
      <c r="E19" s="8" t="inlineStr">
        <is>
          <t>F2</t>
        </is>
      </c>
      <c r="F19" s="10" t="n">
        <v>61.5</v>
      </c>
      <c r="G19" s="10" t="n">
        <v>7</v>
      </c>
      <c r="H19" s="11">
        <f>F19+G19</f>
        <v/>
      </c>
      <c r="I19" s="8" t="n">
        <v>1</v>
      </c>
      <c r="J19" s="8" t="n">
        <v>1</v>
      </c>
      <c r="K19" s="8" t="inlineStr">
        <is>
          <t>Angle</t>
        </is>
      </c>
      <c r="L19" s="8" t="inlineStr">
        <is>
          <t>Nord-Ouest</t>
        </is>
      </c>
      <c r="M19" s="8" t="inlineStr">
        <is>
          <t>Oui</t>
        </is>
      </c>
      <c r="N19" s="8" t="inlineStr">
        <is>
          <t>Sous-sol</t>
        </is>
      </c>
      <c r="O19" s="12" t="n">
        <v>625000</v>
      </c>
      <c r="P19" s="13">
        <f>IFERROR(O19/F19,"")</f>
        <v/>
      </c>
      <c r="Q19" s="14" t="inlineStr">
        <is>
          <t>Disponible</t>
        </is>
      </c>
      <c r="R19" s="8" t="inlineStr"/>
      <c r="S19" s="15" t="inlineStr">
        <is>
          <t>images/projects/jawhara/plans/f2.png</t>
        </is>
      </c>
      <c r="T19" s="15" t="inlineStr">
        <is>
          <t>Appartement d'angle, deux facades</t>
        </is>
      </c>
    </row>
    <row r="20">
      <c r="A20" s="8" t="inlineStr">
        <is>
          <t>jawhara</t>
        </is>
      </c>
      <c r="B20" s="8" t="inlineStr">
        <is>
          <t>A</t>
        </is>
      </c>
      <c r="C20" s="8" t="inlineStr">
        <is>
          <t>3</t>
        </is>
      </c>
      <c r="D20" s="9" t="inlineStr">
        <is>
          <t>A-3-01</t>
        </is>
      </c>
      <c r="E20" s="8" t="inlineStr">
        <is>
          <t>F3</t>
        </is>
      </c>
      <c r="F20" s="10" t="n">
        <v>84</v>
      </c>
      <c r="G20" s="10" t="n">
        <v>9.5</v>
      </c>
      <c r="H20" s="11">
        <f>F20+G20</f>
        <v/>
      </c>
      <c r="I20" s="8" t="n">
        <v>2</v>
      </c>
      <c r="J20" s="8" t="n">
        <v>2</v>
      </c>
      <c r="K20" s="8" t="inlineStr">
        <is>
          <t>Rue</t>
        </is>
      </c>
      <c r="L20" s="8" t="inlineStr">
        <is>
          <t>Sud-Ouest</t>
        </is>
      </c>
      <c r="M20" s="8" t="inlineStr">
        <is>
          <t>Oui</t>
        </is>
      </c>
      <c r="N20" s="8" t="inlineStr">
        <is>
          <t>Sous-sol</t>
        </is>
      </c>
      <c r="O20" s="12" t="n">
        <v>835000</v>
      </c>
      <c r="P20" s="13">
        <f>IFERROR(O20/F20,"")</f>
        <v/>
      </c>
      <c r="Q20" s="14" t="inlineStr">
        <is>
          <t>Disponible</t>
        </is>
      </c>
      <c r="R20" s="8" t="inlineStr"/>
      <c r="S20" s="15" t="inlineStr">
        <is>
          <t>images/projects/jawhara/plans/f3.png</t>
        </is>
      </c>
      <c r="T20" s="15" t="inlineStr"/>
    </row>
    <row r="21">
      <c r="A21" s="8" t="inlineStr">
        <is>
          <t>jawhara</t>
        </is>
      </c>
      <c r="B21" s="8" t="inlineStr">
        <is>
          <t>A</t>
        </is>
      </c>
      <c r="C21" s="8" t="inlineStr">
        <is>
          <t>3</t>
        </is>
      </c>
      <c r="D21" s="9" t="inlineStr">
        <is>
          <t>A-3-02</t>
        </is>
      </c>
      <c r="E21" s="8" t="inlineStr">
        <is>
          <t>F2</t>
        </is>
      </c>
      <c r="F21" s="10" t="n">
        <v>61.5</v>
      </c>
      <c r="G21" s="10" t="n">
        <v>7</v>
      </c>
      <c r="H21" s="11">
        <f>F21+G21</f>
        <v/>
      </c>
      <c r="I21" s="8" t="n">
        <v>1</v>
      </c>
      <c r="J21" s="8" t="n">
        <v>1</v>
      </c>
      <c r="K21" s="8" t="inlineStr">
        <is>
          <t>Rue</t>
        </is>
      </c>
      <c r="L21" s="8" t="inlineStr">
        <is>
          <t>Sud-Ouest</t>
        </is>
      </c>
      <c r="M21" s="8" t="inlineStr">
        <is>
          <t>Oui</t>
        </is>
      </c>
      <c r="N21" s="8" t="inlineStr">
        <is>
          <t>Sous-sol</t>
        </is>
      </c>
      <c r="O21" s="12" t="n">
        <v>631000</v>
      </c>
      <c r="P21" s="13">
        <f>IFERROR(O21/F21,"")</f>
        <v/>
      </c>
      <c r="Q21" s="17" t="inlineStr">
        <is>
          <t>Vendu</t>
        </is>
      </c>
      <c r="R21" s="8" t="inlineStr"/>
      <c r="S21" s="15" t="inlineStr">
        <is>
          <t>images/projects/jawhara/plans/f2.png</t>
        </is>
      </c>
      <c r="T21" s="15" t="inlineStr"/>
    </row>
    <row r="22">
      <c r="A22" s="8" t="inlineStr">
        <is>
          <t>jawhara</t>
        </is>
      </c>
      <c r="B22" s="8" t="inlineStr">
        <is>
          <t>A</t>
        </is>
      </c>
      <c r="C22" s="8" t="inlineStr">
        <is>
          <t>3</t>
        </is>
      </c>
      <c r="D22" s="9" t="inlineStr">
        <is>
          <t>A-3-03</t>
        </is>
      </c>
      <c r="E22" s="8" t="inlineStr">
        <is>
          <t>Studio</t>
        </is>
      </c>
      <c r="F22" s="10" t="n">
        <v>34.5</v>
      </c>
      <c r="G22" s="10" t="n">
        <v>4</v>
      </c>
      <c r="H22" s="11">
        <f>F22+G22</f>
        <v/>
      </c>
      <c r="I22" s="8" t="n">
        <v>0</v>
      </c>
      <c r="J22" s="8" t="n">
        <v>1</v>
      </c>
      <c r="K22" s="8" t="inlineStr">
        <is>
          <t>Cour</t>
        </is>
      </c>
      <c r="L22" s="8" t="inlineStr">
        <is>
          <t>Nord</t>
        </is>
      </c>
      <c r="M22" s="8" t="inlineStr">
        <is>
          <t>Oui</t>
        </is>
      </c>
      <c r="N22" s="8" t="inlineStr">
        <is>
          <t>Sous-sol</t>
        </is>
      </c>
      <c r="O22" s="12" t="n">
        <v>358000</v>
      </c>
      <c r="P22" s="13">
        <f>IFERROR(O22/F22,"")</f>
        <v/>
      </c>
      <c r="Q22" s="14" t="inlineStr">
        <is>
          <t>Disponible</t>
        </is>
      </c>
      <c r="R22" s="8" t="inlineStr"/>
      <c r="S22" s="15" t="inlineStr">
        <is>
          <t>images/projects/jawhara/plans/studio.png</t>
        </is>
      </c>
      <c r="T22" s="15" t="inlineStr"/>
    </row>
    <row r="23">
      <c r="A23" s="8" t="inlineStr">
        <is>
          <t>jawhara</t>
        </is>
      </c>
      <c r="B23" s="8" t="inlineStr">
        <is>
          <t>A</t>
        </is>
      </c>
      <c r="C23" s="8" t="inlineStr">
        <is>
          <t>3</t>
        </is>
      </c>
      <c r="D23" s="9" t="inlineStr">
        <is>
          <t>A-3-04</t>
        </is>
      </c>
      <c r="E23" s="8" t="inlineStr">
        <is>
          <t>F3</t>
        </is>
      </c>
      <c r="F23" s="10" t="n">
        <v>84</v>
      </c>
      <c r="G23" s="10" t="n">
        <v>9.5</v>
      </c>
      <c r="H23" s="11">
        <f>F23+G23</f>
        <v/>
      </c>
      <c r="I23" s="8" t="n">
        <v>2</v>
      </c>
      <c r="J23" s="8" t="n">
        <v>2</v>
      </c>
      <c r="K23" s="8" t="inlineStr">
        <is>
          <t>Cour</t>
        </is>
      </c>
      <c r="L23" s="8" t="inlineStr">
        <is>
          <t>Nord-Est</t>
        </is>
      </c>
      <c r="M23" s="8" t="inlineStr">
        <is>
          <t>Oui</t>
        </is>
      </c>
      <c r="N23" s="8" t="inlineStr">
        <is>
          <t>Sous-sol</t>
        </is>
      </c>
      <c r="O23" s="12" t="n">
        <v>810000</v>
      </c>
      <c r="P23" s="13">
        <f>IFERROR(O23/F23,"")</f>
        <v/>
      </c>
      <c r="Q23" s="17" t="inlineStr">
        <is>
          <t>Vendu</t>
        </is>
      </c>
      <c r="R23" s="8" t="inlineStr"/>
      <c r="S23" s="15" t="inlineStr">
        <is>
          <t>images/projects/jawhara/plans/f3.png</t>
        </is>
      </c>
      <c r="T23" s="15" t="inlineStr"/>
    </row>
    <row r="24">
      <c r="A24" s="8" t="inlineStr">
        <is>
          <t>jawhara</t>
        </is>
      </c>
      <c r="B24" s="8" t="inlineStr">
        <is>
          <t>A</t>
        </is>
      </c>
      <c r="C24" s="8" t="inlineStr">
        <is>
          <t>3</t>
        </is>
      </c>
      <c r="D24" s="9" t="inlineStr">
        <is>
          <t>A-3-05</t>
        </is>
      </c>
      <c r="E24" s="8" t="inlineStr">
        <is>
          <t>F4</t>
        </is>
      </c>
      <c r="F24" s="10" t="n">
        <v>109.5</v>
      </c>
      <c r="G24" s="10" t="n">
        <v>12</v>
      </c>
      <c r="H24" s="11">
        <f>F24+G24</f>
        <v/>
      </c>
      <c r="I24" s="8" t="n">
        <v>3</v>
      </c>
      <c r="J24" s="8" t="n">
        <v>2</v>
      </c>
      <c r="K24" s="8" t="inlineStr">
        <is>
          <t>Double orientation</t>
        </is>
      </c>
      <c r="L24" s="8" t="inlineStr">
        <is>
          <t>Est</t>
        </is>
      </c>
      <c r="M24" s="8" t="inlineStr">
        <is>
          <t>Oui</t>
        </is>
      </c>
      <c r="N24" s="8" t="inlineStr">
        <is>
          <t>Sous-sol</t>
        </is>
      </c>
      <c r="O24" s="12" t="n">
        <v>1085000</v>
      </c>
      <c r="P24" s="13">
        <f>IFERROR(O24/F24,"")</f>
        <v/>
      </c>
      <c r="Q24" s="17" t="inlineStr">
        <is>
          <t>Vendu</t>
        </is>
      </c>
      <c r="R24" s="8" t="inlineStr"/>
      <c r="S24" s="15" t="inlineStr">
        <is>
          <t>images/projects/jawhara/plans/f4.png</t>
        </is>
      </c>
      <c r="T24" s="15" t="inlineStr">
        <is>
          <t>Traversant : lumiere du matin et du soir</t>
        </is>
      </c>
    </row>
    <row r="25">
      <c r="A25" s="8" t="inlineStr">
        <is>
          <t>jawhara</t>
        </is>
      </c>
      <c r="B25" s="8" t="inlineStr">
        <is>
          <t>A</t>
        </is>
      </c>
      <c r="C25" s="8" t="inlineStr">
        <is>
          <t>3</t>
        </is>
      </c>
      <c r="D25" s="9" t="inlineStr">
        <is>
          <t>A-3-06</t>
        </is>
      </c>
      <c r="E25" s="8" t="inlineStr">
        <is>
          <t>F2</t>
        </is>
      </c>
      <c r="F25" s="10" t="n">
        <v>61.5</v>
      </c>
      <c r="G25" s="10" t="n">
        <v>7</v>
      </c>
      <c r="H25" s="11">
        <f>F25+G25</f>
        <v/>
      </c>
      <c r="I25" s="8" t="n">
        <v>1</v>
      </c>
      <c r="J25" s="8" t="n">
        <v>1</v>
      </c>
      <c r="K25" s="8" t="inlineStr">
        <is>
          <t>Angle</t>
        </is>
      </c>
      <c r="L25" s="8" t="inlineStr">
        <is>
          <t>Nord-Ouest</t>
        </is>
      </c>
      <c r="M25" s="8" t="inlineStr">
        <is>
          <t>Oui</t>
        </is>
      </c>
      <c r="N25" s="8" t="inlineStr">
        <is>
          <t>Sous-sol</t>
        </is>
      </c>
      <c r="O25" s="12" t="n">
        <v>637000</v>
      </c>
      <c r="P25" s="13">
        <f>IFERROR(O25/F25,"")</f>
        <v/>
      </c>
      <c r="Q25" s="14" t="inlineStr">
        <is>
          <t>Disponible</t>
        </is>
      </c>
      <c r="R25" s="8" t="inlineStr"/>
      <c r="S25" s="15" t="inlineStr">
        <is>
          <t>images/projects/jawhara/plans/f2.png</t>
        </is>
      </c>
      <c r="T25" s="15" t="inlineStr">
        <is>
          <t>Appartement d'angle, deux facades</t>
        </is>
      </c>
    </row>
    <row r="26">
      <c r="A26" s="8" t="inlineStr">
        <is>
          <t>jawhara</t>
        </is>
      </c>
      <c r="B26" s="8" t="inlineStr">
        <is>
          <t>A</t>
        </is>
      </c>
      <c r="C26" s="8" t="inlineStr">
        <is>
          <t>4</t>
        </is>
      </c>
      <c r="D26" s="9" t="inlineStr">
        <is>
          <t>A-4-01</t>
        </is>
      </c>
      <c r="E26" s="8" t="inlineStr">
        <is>
          <t>Duplex</t>
        </is>
      </c>
      <c r="F26" s="10" t="n">
        <v>132</v>
      </c>
      <c r="G26" s="10" t="n">
        <v>24</v>
      </c>
      <c r="H26" s="11">
        <f>F26+G26</f>
        <v/>
      </c>
      <c r="I26" s="8" t="n">
        <v>4</v>
      </c>
      <c r="J26" s="8" t="n">
        <v>3</v>
      </c>
      <c r="K26" s="8" t="inlineStr">
        <is>
          <t>Rue</t>
        </is>
      </c>
      <c r="L26" s="8" t="inlineStr">
        <is>
          <t>Sud-Ouest</t>
        </is>
      </c>
      <c r="M26" s="8" t="inlineStr">
        <is>
          <t>Oui</t>
        </is>
      </c>
      <c r="N26" s="8" t="inlineStr">
        <is>
          <t>Sous-sol</t>
        </is>
      </c>
      <c r="O26" s="12" t="n">
        <v>1423000</v>
      </c>
      <c r="P26" s="13">
        <f>IFERROR(O26/F26,"")</f>
        <v/>
      </c>
      <c r="Q26" s="17" t="inlineStr">
        <is>
          <t>Vendu</t>
        </is>
      </c>
      <c r="R26" s="8" t="inlineStr"/>
      <c r="S26" s="15" t="inlineStr">
        <is>
          <t>images/projects/jawhara/plans/duplex.png</t>
        </is>
      </c>
      <c r="T26" s="15" t="inlineStr">
        <is>
          <t>Duplex avec terrasse privative, vue degagee sur l'Atlas</t>
        </is>
      </c>
    </row>
    <row r="27">
      <c r="A27" s="8" t="inlineStr">
        <is>
          <t>jawhara</t>
        </is>
      </c>
      <c r="B27" s="8" t="inlineStr">
        <is>
          <t>A</t>
        </is>
      </c>
      <c r="C27" s="8" t="inlineStr">
        <is>
          <t>4</t>
        </is>
      </c>
      <c r="D27" s="9" t="inlineStr">
        <is>
          <t>A-4-02</t>
        </is>
      </c>
      <c r="E27" s="8" t="inlineStr">
        <is>
          <t>F4</t>
        </is>
      </c>
      <c r="F27" s="10" t="n">
        <v>108</v>
      </c>
      <c r="G27" s="10" t="n">
        <v>12</v>
      </c>
      <c r="H27" s="11">
        <f>F27+G27</f>
        <v/>
      </c>
      <c r="I27" s="8" t="n">
        <v>3</v>
      </c>
      <c r="J27" s="8" t="n">
        <v>2</v>
      </c>
      <c r="K27" s="8" t="inlineStr">
        <is>
          <t>Rue</t>
        </is>
      </c>
      <c r="L27" s="8" t="inlineStr">
        <is>
          <t>Sud-Ouest</t>
        </is>
      </c>
      <c r="M27" s="8" t="inlineStr">
        <is>
          <t>Oui</t>
        </is>
      </c>
      <c r="N27" s="8" t="inlineStr">
        <is>
          <t>Sous-sol</t>
        </is>
      </c>
      <c r="O27" s="12" t="n">
        <v>1079000</v>
      </c>
      <c r="P27" s="13">
        <f>IFERROR(O27/F27,"")</f>
        <v/>
      </c>
      <c r="Q27" s="18" t="inlineStr">
        <is>
          <t>Reserve</t>
        </is>
      </c>
      <c r="R27" s="8" t="inlineStr"/>
      <c r="S27" s="15" t="inlineStr">
        <is>
          <t>images/projects/jawhara/plans/f4.png</t>
        </is>
      </c>
      <c r="T27" s="15" t="inlineStr">
        <is>
          <t>Dernier etage, terrasse privative</t>
        </is>
      </c>
    </row>
    <row r="28">
      <c r="A28" s="8" t="inlineStr">
        <is>
          <t>jawhara</t>
        </is>
      </c>
      <c r="B28" s="8" t="inlineStr">
        <is>
          <t>A</t>
        </is>
      </c>
      <c r="C28" s="8" t="inlineStr">
        <is>
          <t>4</t>
        </is>
      </c>
      <c r="D28" s="9" t="inlineStr">
        <is>
          <t>A-4-03</t>
        </is>
      </c>
      <c r="E28" s="8" t="inlineStr">
        <is>
          <t>F2</t>
        </is>
      </c>
      <c r="F28" s="10" t="n">
        <v>61.5</v>
      </c>
      <c r="G28" s="10" t="n">
        <v>7</v>
      </c>
      <c r="H28" s="11">
        <f>F28+G28</f>
        <v/>
      </c>
      <c r="I28" s="8" t="n">
        <v>1</v>
      </c>
      <c r="J28" s="8" t="n">
        <v>1</v>
      </c>
      <c r="K28" s="8" t="inlineStr">
        <is>
          <t>Cour</t>
        </is>
      </c>
      <c r="L28" s="8" t="inlineStr">
        <is>
          <t>Nord</t>
        </is>
      </c>
      <c r="M28" s="8" t="inlineStr">
        <is>
          <t>Oui</t>
        </is>
      </c>
      <c r="N28" s="8" t="inlineStr">
        <is>
          <t>Sous-sol</t>
        </is>
      </c>
      <c r="O28" s="12" t="n">
        <v>630000</v>
      </c>
      <c r="P28" s="13">
        <f>IFERROR(O28/F28,"")</f>
        <v/>
      </c>
      <c r="Q28" s="18" t="inlineStr">
        <is>
          <t>Reserve</t>
        </is>
      </c>
      <c r="R28" s="8" t="inlineStr"/>
      <c r="S28" s="15" t="inlineStr">
        <is>
          <t>images/projects/jawhara/plans/f2.png</t>
        </is>
      </c>
      <c r="T28" s="15" t="inlineStr">
        <is>
          <t>Dernier etage, terrasse privative</t>
        </is>
      </c>
    </row>
    <row r="29">
      <c r="A29" s="8" t="inlineStr">
        <is>
          <t>jawhara</t>
        </is>
      </c>
      <c r="B29" s="8" t="inlineStr">
        <is>
          <t>A</t>
        </is>
      </c>
      <c r="C29" s="8" t="inlineStr">
        <is>
          <t>4</t>
        </is>
      </c>
      <c r="D29" s="9" t="inlineStr">
        <is>
          <t>A-4-04</t>
        </is>
      </c>
      <c r="E29" s="8" t="inlineStr">
        <is>
          <t>F3</t>
        </is>
      </c>
      <c r="F29" s="10" t="n">
        <v>84</v>
      </c>
      <c r="G29" s="10" t="n">
        <v>9.5</v>
      </c>
      <c r="H29" s="11">
        <f>F29+G29</f>
        <v/>
      </c>
      <c r="I29" s="8" t="n">
        <v>2</v>
      </c>
      <c r="J29" s="8" t="n">
        <v>2</v>
      </c>
      <c r="K29" s="8" t="inlineStr">
        <is>
          <t>Cour</t>
        </is>
      </c>
      <c r="L29" s="8" t="inlineStr">
        <is>
          <t>Nord-Est</t>
        </is>
      </c>
      <c r="M29" s="8" t="inlineStr">
        <is>
          <t>Oui</t>
        </is>
      </c>
      <c r="N29" s="8" t="inlineStr">
        <is>
          <t>Sous-sol</t>
        </is>
      </c>
      <c r="O29" s="12" t="n">
        <v>833000</v>
      </c>
      <c r="P29" s="13">
        <f>IFERROR(O29/F29,"")</f>
        <v/>
      </c>
      <c r="Q29" s="17" t="inlineStr">
        <is>
          <t>Vendu</t>
        </is>
      </c>
      <c r="R29" s="8" t="inlineStr"/>
      <c r="S29" s="15" t="inlineStr">
        <is>
          <t>images/projects/jawhara/plans/f3.png</t>
        </is>
      </c>
      <c r="T29" s="15" t="inlineStr">
        <is>
          <t>Dernier etage, terrasse privative</t>
        </is>
      </c>
    </row>
    <row r="30">
      <c r="A30" s="8" t="inlineStr">
        <is>
          <t>jawhara</t>
        </is>
      </c>
      <c r="B30" s="8" t="inlineStr">
        <is>
          <t>A</t>
        </is>
      </c>
      <c r="C30" s="8" t="inlineStr">
        <is>
          <t>4</t>
        </is>
      </c>
      <c r="D30" s="9" t="inlineStr">
        <is>
          <t>A-4-05</t>
        </is>
      </c>
      <c r="E30" s="8" t="inlineStr">
        <is>
          <t>Duplex</t>
        </is>
      </c>
      <c r="F30" s="10" t="n">
        <v>133.5</v>
      </c>
      <c r="G30" s="10" t="n">
        <v>24</v>
      </c>
      <c r="H30" s="11">
        <f>F30+G30</f>
        <v/>
      </c>
      <c r="I30" s="8" t="n">
        <v>4</v>
      </c>
      <c r="J30" s="8" t="n">
        <v>3</v>
      </c>
      <c r="K30" s="8" t="inlineStr">
        <is>
          <t>Double orientation</t>
        </is>
      </c>
      <c r="L30" s="8" t="inlineStr">
        <is>
          <t>Est</t>
        </is>
      </c>
      <c r="M30" s="8" t="inlineStr">
        <is>
          <t>Oui</t>
        </is>
      </c>
      <c r="N30" s="8" t="inlineStr">
        <is>
          <t>Sous-sol</t>
        </is>
      </c>
      <c r="O30" s="12" t="n">
        <v>1467000</v>
      </c>
      <c r="P30" s="13">
        <f>IFERROR(O30/F30,"")</f>
        <v/>
      </c>
      <c r="Q30" s="14" t="inlineStr">
        <is>
          <t>Disponible</t>
        </is>
      </c>
      <c r="R30" s="8" t="inlineStr"/>
      <c r="S30" s="15" t="inlineStr">
        <is>
          <t>images/projects/jawhara/plans/duplex.png</t>
        </is>
      </c>
      <c r="T30" s="15" t="inlineStr">
        <is>
          <t>Duplex avec terrasse privative, vue degagee sur l'Atlas</t>
        </is>
      </c>
    </row>
    <row r="31">
      <c r="A31" s="8" t="inlineStr">
        <is>
          <t>jawhara</t>
        </is>
      </c>
      <c r="B31" s="8" t="inlineStr">
        <is>
          <t>A</t>
        </is>
      </c>
      <c r="C31" s="8" t="inlineStr">
        <is>
          <t>4</t>
        </is>
      </c>
      <c r="D31" s="9" t="inlineStr">
        <is>
          <t>A-4-06</t>
        </is>
      </c>
      <c r="E31" s="8" t="inlineStr">
        <is>
          <t>F3</t>
        </is>
      </c>
      <c r="F31" s="10" t="n">
        <v>84</v>
      </c>
      <c r="G31" s="10" t="n">
        <v>9.5</v>
      </c>
      <c r="H31" s="11">
        <f>F31+G31</f>
        <v/>
      </c>
      <c r="I31" s="8" t="n">
        <v>2</v>
      </c>
      <c r="J31" s="8" t="n">
        <v>2</v>
      </c>
      <c r="K31" s="8" t="inlineStr">
        <is>
          <t>Angle</t>
        </is>
      </c>
      <c r="L31" s="8" t="inlineStr">
        <is>
          <t>Nord-Ouest</t>
        </is>
      </c>
      <c r="M31" s="8" t="inlineStr">
        <is>
          <t>Oui</t>
        </is>
      </c>
      <c r="N31" s="8" t="inlineStr">
        <is>
          <t>Sous-sol</t>
        </is>
      </c>
      <c r="O31" s="12" t="n">
        <v>867000</v>
      </c>
      <c r="P31" s="13">
        <f>IFERROR(O31/F31,"")</f>
        <v/>
      </c>
      <c r="Q31" s="16" t="inlineStr">
        <is>
          <t>Optionne</t>
        </is>
      </c>
      <c r="R31" s="8" t="inlineStr">
        <is>
          <t>2026-08-09</t>
        </is>
      </c>
      <c r="S31" s="15" t="inlineStr">
        <is>
          <t>images/projects/jawhara/plans/f3.png</t>
        </is>
      </c>
      <c r="T31" s="15" t="inlineStr">
        <is>
          <t>Dernier etage, terrasse privative</t>
        </is>
      </c>
    </row>
    <row r="32">
      <c r="A32" s="8" t="inlineStr">
        <is>
          <t>jawhara</t>
        </is>
      </c>
      <c r="B32" s="8" t="inlineStr">
        <is>
          <t>B</t>
        </is>
      </c>
      <c r="C32" s="8" t="inlineStr">
        <is>
          <t>RDC</t>
        </is>
      </c>
      <c r="D32" s="9" t="inlineStr">
        <is>
          <t>B-RDC-01</t>
        </is>
      </c>
      <c r="E32" s="8" t="inlineStr">
        <is>
          <t>Commerce</t>
        </is>
      </c>
      <c r="F32" s="10" t="n">
        <v>46.5</v>
      </c>
      <c r="G32" s="10" t="n">
        <v>0</v>
      </c>
      <c r="H32" s="11">
        <f>F32+G32</f>
        <v/>
      </c>
      <c r="I32" s="8" t="n">
        <v>0</v>
      </c>
      <c r="J32" s="8" t="n">
        <v>1</v>
      </c>
      <c r="K32" s="8" t="inlineStr">
        <is>
          <t>Angle</t>
        </is>
      </c>
      <c r="L32" s="8" t="inlineStr">
        <is>
          <t>Sud-Ouest</t>
        </is>
      </c>
      <c r="M32" s="8" t="inlineStr">
        <is>
          <t>Oui</t>
        </is>
      </c>
      <c r="N32" s="8" t="inlineStr">
        <is>
          <t>Aucun</t>
        </is>
      </c>
      <c r="O32" s="12" t="n">
        <v>708000</v>
      </c>
      <c r="P32" s="13">
        <f>IFERROR(O32/F32,"")</f>
        <v/>
      </c>
      <c r="Q32" s="14" t="inlineStr">
        <is>
          <t>Disponible</t>
        </is>
      </c>
      <c r="R32" s="8" t="inlineStr"/>
      <c r="S32" s="15" t="inlineStr"/>
      <c r="T32" s="15" t="inlineStr">
        <is>
          <t>Local commercial avec vitrine sur la voie principale</t>
        </is>
      </c>
    </row>
    <row r="33">
      <c r="A33" s="8" t="inlineStr">
        <is>
          <t>jawhara</t>
        </is>
      </c>
      <c r="B33" s="8" t="inlineStr">
        <is>
          <t>B</t>
        </is>
      </c>
      <c r="C33" s="8" t="inlineStr">
        <is>
          <t>RDC</t>
        </is>
      </c>
      <c r="D33" s="9" t="inlineStr">
        <is>
          <t>B-RDC-02</t>
        </is>
      </c>
      <c r="E33" s="8" t="inlineStr">
        <is>
          <t>Commerce</t>
        </is>
      </c>
      <c r="F33" s="10" t="n">
        <v>46.5</v>
      </c>
      <c r="G33" s="10" t="n">
        <v>0</v>
      </c>
      <c r="H33" s="11">
        <f>F33+G33</f>
        <v/>
      </c>
      <c r="I33" s="8" t="n">
        <v>0</v>
      </c>
      <c r="J33" s="8" t="n">
        <v>1</v>
      </c>
      <c r="K33" s="8" t="inlineStr">
        <is>
          <t>Rue</t>
        </is>
      </c>
      <c r="L33" s="8" t="inlineStr">
        <is>
          <t>Sud-Ouest</t>
        </is>
      </c>
      <c r="M33" s="8" t="inlineStr">
        <is>
          <t>Oui</t>
        </is>
      </c>
      <c r="N33" s="8" t="inlineStr">
        <is>
          <t>Aucun</t>
        </is>
      </c>
      <c r="O33" s="12" t="n">
        <v>701000</v>
      </c>
      <c r="P33" s="13">
        <f>IFERROR(O33/F33,"")</f>
        <v/>
      </c>
      <c r="Q33" s="14" t="inlineStr">
        <is>
          <t>Disponible</t>
        </is>
      </c>
      <c r="R33" s="8" t="inlineStr"/>
      <c r="S33" s="15" t="inlineStr"/>
      <c r="T33" s="15" t="inlineStr">
        <is>
          <t>Local commercial avec vitrine sur la voie principale</t>
        </is>
      </c>
    </row>
    <row r="34">
      <c r="A34" s="8" t="inlineStr">
        <is>
          <t>jawhara</t>
        </is>
      </c>
      <c r="B34" s="8" t="inlineStr">
        <is>
          <t>B</t>
        </is>
      </c>
      <c r="C34" s="8" t="inlineStr">
        <is>
          <t>RDC</t>
        </is>
      </c>
      <c r="D34" s="9" t="inlineStr">
        <is>
          <t>B-RDC-03</t>
        </is>
      </c>
      <c r="E34" s="8" t="inlineStr">
        <is>
          <t>Bureau</t>
        </is>
      </c>
      <c r="F34" s="10" t="n">
        <v>52.5</v>
      </c>
      <c r="G34" s="10" t="n">
        <v>0</v>
      </c>
      <c r="H34" s="11">
        <f>F34+G34</f>
        <v/>
      </c>
      <c r="I34" s="8" t="n">
        <v>0</v>
      </c>
      <c r="J34" s="8" t="n">
        <v>1</v>
      </c>
      <c r="K34" s="8" t="inlineStr">
        <is>
          <t>Rue</t>
        </is>
      </c>
      <c r="L34" s="8" t="inlineStr">
        <is>
          <t>Sud</t>
        </is>
      </c>
      <c r="M34" s="8" t="inlineStr">
        <is>
          <t>Oui</t>
        </is>
      </c>
      <c r="N34" s="8" t="inlineStr">
        <is>
          <t>Aucun</t>
        </is>
      </c>
      <c r="O34" s="12" t="n">
        <v>655000</v>
      </c>
      <c r="P34" s="13">
        <f>IFERROR(O34/F34,"")</f>
        <v/>
      </c>
      <c r="Q34" s="14" t="inlineStr">
        <is>
          <t>Disponible</t>
        </is>
      </c>
      <c r="R34" s="8" t="inlineStr"/>
      <c r="S34" s="15" t="inlineStr"/>
      <c r="T34" s="15" t="inlineStr">
        <is>
          <t>Plateau de bureau modulable, entree independante</t>
        </is>
      </c>
    </row>
    <row r="35">
      <c r="A35" s="8" t="inlineStr">
        <is>
          <t>jawhara</t>
        </is>
      </c>
      <c r="B35" s="8" t="inlineStr">
        <is>
          <t>B</t>
        </is>
      </c>
      <c r="C35" s="8" t="inlineStr">
        <is>
          <t>RDC</t>
        </is>
      </c>
      <c r="D35" s="9" t="inlineStr">
        <is>
          <t>B-RDC-04</t>
        </is>
      </c>
      <c r="E35" s="8" t="inlineStr">
        <is>
          <t>F2</t>
        </is>
      </c>
      <c r="F35" s="10" t="n">
        <v>62</v>
      </c>
      <c r="G35" s="10" t="n">
        <v>7</v>
      </c>
      <c r="H35" s="11">
        <f>F35+G35</f>
        <v/>
      </c>
      <c r="I35" s="8" t="n">
        <v>1</v>
      </c>
      <c r="J35" s="8" t="n">
        <v>1</v>
      </c>
      <c r="K35" s="8" t="inlineStr">
        <is>
          <t>Jardin</t>
        </is>
      </c>
      <c r="L35" s="8" t="inlineStr">
        <is>
          <t>Nord-Est</t>
        </is>
      </c>
      <c r="M35" s="8" t="inlineStr">
        <is>
          <t>Oui</t>
        </is>
      </c>
      <c r="N35" s="8" t="inlineStr">
        <is>
          <t>Exterieur</t>
        </is>
      </c>
      <c r="O35" s="12" t="n">
        <v>600000</v>
      </c>
      <c r="P35" s="13">
        <f>IFERROR(O35/F35,"")</f>
        <v/>
      </c>
      <c r="Q35" s="17" t="inlineStr">
        <is>
          <t>Vendu</t>
        </is>
      </c>
      <c r="R35" s="8" t="inlineStr"/>
      <c r="S35" s="15" t="inlineStr">
        <is>
          <t>images/projects/jawhara/plans/f2.png</t>
        </is>
      </c>
      <c r="T35" s="15" t="inlineStr">
        <is>
          <t>Acces direct au jardin interieur, ideal pour une famille</t>
        </is>
      </c>
    </row>
    <row r="36">
      <c r="A36" s="8" t="inlineStr">
        <is>
          <t>jawhara</t>
        </is>
      </c>
      <c r="B36" s="8" t="inlineStr">
        <is>
          <t>B</t>
        </is>
      </c>
      <c r="C36" s="8" t="inlineStr">
        <is>
          <t>RDC</t>
        </is>
      </c>
      <c r="D36" s="9" t="inlineStr">
        <is>
          <t>B-RDC-05</t>
        </is>
      </c>
      <c r="E36" s="8" t="inlineStr">
        <is>
          <t>F3</t>
        </is>
      </c>
      <c r="F36" s="10" t="n">
        <v>86</v>
      </c>
      <c r="G36" s="10" t="n">
        <v>9.5</v>
      </c>
      <c r="H36" s="11">
        <f>F36+G36</f>
        <v/>
      </c>
      <c r="I36" s="8" t="n">
        <v>2</v>
      </c>
      <c r="J36" s="8" t="n">
        <v>2</v>
      </c>
      <c r="K36" s="8" t="inlineStr">
        <is>
          <t>Jardin</t>
        </is>
      </c>
      <c r="L36" s="8" t="inlineStr">
        <is>
          <t>Nord-Est</t>
        </is>
      </c>
      <c r="M36" s="8" t="inlineStr">
        <is>
          <t>Oui</t>
        </is>
      </c>
      <c r="N36" s="8" t="inlineStr">
        <is>
          <t>Exterieur</t>
        </is>
      </c>
      <c r="O36" s="12" t="n">
        <v>806000</v>
      </c>
      <c r="P36" s="13">
        <f>IFERROR(O36/F36,"")</f>
        <v/>
      </c>
      <c r="Q36" s="14" t="inlineStr">
        <is>
          <t>Disponible</t>
        </is>
      </c>
      <c r="R36" s="8" t="inlineStr"/>
      <c r="S36" s="15" t="inlineStr">
        <is>
          <t>images/projects/jawhara/plans/f3.png</t>
        </is>
      </c>
      <c r="T36" s="15" t="inlineStr">
        <is>
          <t>Acces direct au jardin interieur, ideal pour une famille</t>
        </is>
      </c>
    </row>
    <row r="37">
      <c r="A37" s="8" t="inlineStr">
        <is>
          <t>jawhara</t>
        </is>
      </c>
      <c r="B37" s="8" t="inlineStr">
        <is>
          <t>B</t>
        </is>
      </c>
      <c r="C37" s="8" t="inlineStr">
        <is>
          <t>RDC</t>
        </is>
      </c>
      <c r="D37" s="9" t="inlineStr">
        <is>
          <t>B-RDC-06</t>
        </is>
      </c>
      <c r="E37" s="8" t="inlineStr">
        <is>
          <t>F2</t>
        </is>
      </c>
      <c r="F37" s="10" t="n">
        <v>62</v>
      </c>
      <c r="G37" s="10" t="n">
        <v>7</v>
      </c>
      <c r="H37" s="11">
        <f>F37+G37</f>
        <v/>
      </c>
      <c r="I37" s="8" t="n">
        <v>1</v>
      </c>
      <c r="J37" s="8" t="n">
        <v>1</v>
      </c>
      <c r="K37" s="8" t="inlineStr">
        <is>
          <t>Cour</t>
        </is>
      </c>
      <c r="L37" s="8" t="inlineStr">
        <is>
          <t>Nord</t>
        </is>
      </c>
      <c r="M37" s="8" t="inlineStr">
        <is>
          <t>Oui</t>
        </is>
      </c>
      <c r="N37" s="8" t="inlineStr">
        <is>
          <t>Exterieur</t>
        </is>
      </c>
      <c r="O37" s="12" t="n">
        <v>589000</v>
      </c>
      <c r="P37" s="13">
        <f>IFERROR(O37/F37,"")</f>
        <v/>
      </c>
      <c r="Q37" s="14" t="inlineStr">
        <is>
          <t>Disponible</t>
        </is>
      </c>
      <c r="R37" s="8" t="inlineStr"/>
      <c r="S37" s="15" t="inlineStr">
        <is>
          <t>images/projects/jawhara/plans/f2.png</t>
        </is>
      </c>
      <c r="T37" s="15" t="inlineStr"/>
    </row>
    <row r="38">
      <c r="A38" s="8" t="inlineStr">
        <is>
          <t>jawhara</t>
        </is>
      </c>
      <c r="B38" s="8" t="inlineStr">
        <is>
          <t>B</t>
        </is>
      </c>
      <c r="C38" s="8" t="inlineStr">
        <is>
          <t>1</t>
        </is>
      </c>
      <c r="D38" s="9" t="inlineStr">
        <is>
          <t>B-1-01</t>
        </is>
      </c>
      <c r="E38" s="8" t="inlineStr">
        <is>
          <t>F3</t>
        </is>
      </c>
      <c r="F38" s="10" t="n">
        <v>84.5</v>
      </c>
      <c r="G38" s="10" t="n">
        <v>9.5</v>
      </c>
      <c r="H38" s="11">
        <f>F38+G38</f>
        <v/>
      </c>
      <c r="I38" s="8" t="n">
        <v>2</v>
      </c>
      <c r="J38" s="8" t="n">
        <v>2</v>
      </c>
      <c r="K38" s="8" t="inlineStr">
        <is>
          <t>Rue</t>
        </is>
      </c>
      <c r="L38" s="8" t="inlineStr">
        <is>
          <t>Sud-Ouest</t>
        </is>
      </c>
      <c r="M38" s="8" t="inlineStr">
        <is>
          <t>Oui</t>
        </is>
      </c>
      <c r="N38" s="8" t="inlineStr">
        <is>
          <t>Sous-sol</t>
        </is>
      </c>
      <c r="O38" s="12" t="n">
        <v>816000</v>
      </c>
      <c r="P38" s="13">
        <f>IFERROR(O38/F38,"")</f>
        <v/>
      </c>
      <c r="Q38" s="14" t="inlineStr">
        <is>
          <t>Disponible</t>
        </is>
      </c>
      <c r="R38" s="8" t="inlineStr"/>
      <c r="S38" s="15" t="inlineStr">
        <is>
          <t>images/projects/jawhara/plans/f3.png</t>
        </is>
      </c>
      <c r="T38" s="15" t="inlineStr"/>
    </row>
    <row r="39">
      <c r="A39" s="8" t="inlineStr">
        <is>
          <t>jawhara</t>
        </is>
      </c>
      <c r="B39" s="8" t="inlineStr">
        <is>
          <t>B</t>
        </is>
      </c>
      <c r="C39" s="8" t="inlineStr">
        <is>
          <t>1</t>
        </is>
      </c>
      <c r="D39" s="9" t="inlineStr">
        <is>
          <t>B-1-02</t>
        </is>
      </c>
      <c r="E39" s="8" t="inlineStr">
        <is>
          <t>F2</t>
        </is>
      </c>
      <c r="F39" s="10" t="n">
        <v>62</v>
      </c>
      <c r="G39" s="10" t="n">
        <v>7</v>
      </c>
      <c r="H39" s="11">
        <f>F39+G39</f>
        <v/>
      </c>
      <c r="I39" s="8" t="n">
        <v>1</v>
      </c>
      <c r="J39" s="8" t="n">
        <v>1</v>
      </c>
      <c r="K39" s="8" t="inlineStr">
        <is>
          <t>Rue</t>
        </is>
      </c>
      <c r="L39" s="8" t="inlineStr">
        <is>
          <t>Sud-Ouest</t>
        </is>
      </c>
      <c r="M39" s="8" t="inlineStr">
        <is>
          <t>Oui</t>
        </is>
      </c>
      <c r="N39" s="8" t="inlineStr">
        <is>
          <t>Sous-sol</t>
        </is>
      </c>
      <c r="O39" s="12" t="n">
        <v>618000</v>
      </c>
      <c r="P39" s="13">
        <f>IFERROR(O39/F39,"")</f>
        <v/>
      </c>
      <c r="Q39" s="16" t="inlineStr">
        <is>
          <t>Optionne</t>
        </is>
      </c>
      <c r="R39" s="8" t="inlineStr">
        <is>
          <t>2026-08-14</t>
        </is>
      </c>
      <c r="S39" s="15" t="inlineStr">
        <is>
          <t>images/projects/jawhara/plans/f2.png</t>
        </is>
      </c>
      <c r="T39" s="15" t="inlineStr"/>
    </row>
    <row r="40">
      <c r="A40" s="8" t="inlineStr">
        <is>
          <t>jawhara</t>
        </is>
      </c>
      <c r="B40" s="8" t="inlineStr">
        <is>
          <t>B</t>
        </is>
      </c>
      <c r="C40" s="8" t="inlineStr">
        <is>
          <t>1</t>
        </is>
      </c>
      <c r="D40" s="9" t="inlineStr">
        <is>
          <t>B-1-03</t>
        </is>
      </c>
      <c r="E40" s="8" t="inlineStr">
        <is>
          <t>Studio</t>
        </is>
      </c>
      <c r="F40" s="10" t="n">
        <v>35</v>
      </c>
      <c r="G40" s="10" t="n">
        <v>4</v>
      </c>
      <c r="H40" s="11">
        <f>F40+G40</f>
        <v/>
      </c>
      <c r="I40" s="8" t="n">
        <v>0</v>
      </c>
      <c r="J40" s="8" t="n">
        <v>1</v>
      </c>
      <c r="K40" s="8" t="inlineStr">
        <is>
          <t>Cour</t>
        </is>
      </c>
      <c r="L40" s="8" t="inlineStr">
        <is>
          <t>Nord</t>
        </is>
      </c>
      <c r="M40" s="8" t="inlineStr">
        <is>
          <t>Oui</t>
        </is>
      </c>
      <c r="N40" s="8" t="inlineStr">
        <is>
          <t>Sous-sol</t>
        </is>
      </c>
      <c r="O40" s="12" t="n">
        <v>353000</v>
      </c>
      <c r="P40" s="13">
        <f>IFERROR(O40/F40,"")</f>
        <v/>
      </c>
      <c r="Q40" s="14" t="inlineStr">
        <is>
          <t>Disponible</t>
        </is>
      </c>
      <c r="R40" s="8" t="inlineStr"/>
      <c r="S40" s="15" t="inlineStr">
        <is>
          <t>images/projects/jawhara/plans/studio.png</t>
        </is>
      </c>
      <c r="T40" s="15" t="inlineStr"/>
    </row>
    <row r="41">
      <c r="A41" s="8" t="inlineStr">
        <is>
          <t>jawhara</t>
        </is>
      </c>
      <c r="B41" s="8" t="inlineStr">
        <is>
          <t>B</t>
        </is>
      </c>
      <c r="C41" s="8" t="inlineStr">
        <is>
          <t>1</t>
        </is>
      </c>
      <c r="D41" s="9" t="inlineStr">
        <is>
          <t>B-1-04</t>
        </is>
      </c>
      <c r="E41" s="8" t="inlineStr">
        <is>
          <t>F3</t>
        </is>
      </c>
      <c r="F41" s="10" t="n">
        <v>84.5</v>
      </c>
      <c r="G41" s="10" t="n">
        <v>9.5</v>
      </c>
      <c r="H41" s="11">
        <f>F41+G41</f>
        <v/>
      </c>
      <c r="I41" s="8" t="n">
        <v>2</v>
      </c>
      <c r="J41" s="8" t="n">
        <v>2</v>
      </c>
      <c r="K41" s="8" t="inlineStr">
        <is>
          <t>Cour</t>
        </is>
      </c>
      <c r="L41" s="8" t="inlineStr">
        <is>
          <t>Nord-Est</t>
        </is>
      </c>
      <c r="M41" s="8" t="inlineStr">
        <is>
          <t>Oui</t>
        </is>
      </c>
      <c r="N41" s="8" t="inlineStr">
        <is>
          <t>Sous-sol</t>
        </is>
      </c>
      <c r="O41" s="12" t="n">
        <v>792000</v>
      </c>
      <c r="P41" s="13">
        <f>IFERROR(O41/F41,"")</f>
        <v/>
      </c>
      <c r="Q41" s="18" t="inlineStr">
        <is>
          <t>Reserve</t>
        </is>
      </c>
      <c r="R41" s="8" t="inlineStr"/>
      <c r="S41" s="15" t="inlineStr">
        <is>
          <t>images/projects/jawhara/plans/f3.png</t>
        </is>
      </c>
      <c r="T41" s="15" t="inlineStr"/>
    </row>
    <row r="42">
      <c r="A42" s="8" t="inlineStr">
        <is>
          <t>jawhara</t>
        </is>
      </c>
      <c r="B42" s="8" t="inlineStr">
        <is>
          <t>B</t>
        </is>
      </c>
      <c r="C42" s="8" t="inlineStr">
        <is>
          <t>1</t>
        </is>
      </c>
      <c r="D42" s="9" t="inlineStr">
        <is>
          <t>B-1-05</t>
        </is>
      </c>
      <c r="E42" s="8" t="inlineStr">
        <is>
          <t>F4</t>
        </is>
      </c>
      <c r="F42" s="10" t="n">
        <v>110</v>
      </c>
      <c r="G42" s="10" t="n">
        <v>12</v>
      </c>
      <c r="H42" s="11">
        <f>F42+G42</f>
        <v/>
      </c>
      <c r="I42" s="8" t="n">
        <v>3</v>
      </c>
      <c r="J42" s="8" t="n">
        <v>2</v>
      </c>
      <c r="K42" s="8" t="inlineStr">
        <is>
          <t>Double orientation</t>
        </is>
      </c>
      <c r="L42" s="8" t="inlineStr">
        <is>
          <t>Est</t>
        </is>
      </c>
      <c r="M42" s="8" t="inlineStr">
        <is>
          <t>Oui</t>
        </is>
      </c>
      <c r="N42" s="8" t="inlineStr">
        <is>
          <t>Sous-sol</t>
        </is>
      </c>
      <c r="O42" s="12" t="n">
        <v>1059000</v>
      </c>
      <c r="P42" s="13">
        <f>IFERROR(O42/F42,"")</f>
        <v/>
      </c>
      <c r="Q42" s="14" t="inlineStr">
        <is>
          <t>Disponible</t>
        </is>
      </c>
      <c r="R42" s="8" t="inlineStr"/>
      <c r="S42" s="15" t="inlineStr">
        <is>
          <t>images/projects/jawhara/plans/f4.png</t>
        </is>
      </c>
      <c r="T42" s="15" t="inlineStr">
        <is>
          <t>Traversant : lumiere du matin et du soir</t>
        </is>
      </c>
    </row>
    <row r="43">
      <c r="A43" s="8" t="inlineStr">
        <is>
          <t>jawhara</t>
        </is>
      </c>
      <c r="B43" s="8" t="inlineStr">
        <is>
          <t>B</t>
        </is>
      </c>
      <c r="C43" s="8" t="inlineStr">
        <is>
          <t>1</t>
        </is>
      </c>
      <c r="D43" s="9" t="inlineStr">
        <is>
          <t>B-1-06</t>
        </is>
      </c>
      <c r="E43" s="8" t="inlineStr">
        <is>
          <t>F2</t>
        </is>
      </c>
      <c r="F43" s="10" t="n">
        <v>62</v>
      </c>
      <c r="G43" s="10" t="n">
        <v>7</v>
      </c>
      <c r="H43" s="11">
        <f>F43+G43</f>
        <v/>
      </c>
      <c r="I43" s="8" t="n">
        <v>1</v>
      </c>
      <c r="J43" s="8" t="n">
        <v>1</v>
      </c>
      <c r="K43" s="8" t="inlineStr">
        <is>
          <t>Angle</t>
        </is>
      </c>
      <c r="L43" s="8" t="inlineStr">
        <is>
          <t>Nord-Ouest</t>
        </is>
      </c>
      <c r="M43" s="8" t="inlineStr">
        <is>
          <t>Oui</t>
        </is>
      </c>
      <c r="N43" s="8" t="inlineStr">
        <is>
          <t>Sous-sol</t>
        </is>
      </c>
      <c r="O43" s="12" t="n">
        <v>624000</v>
      </c>
      <c r="P43" s="13">
        <f>IFERROR(O43/F43,"")</f>
        <v/>
      </c>
      <c r="Q43" s="14" t="inlineStr">
        <is>
          <t>Disponible</t>
        </is>
      </c>
      <c r="R43" s="8" t="inlineStr"/>
      <c r="S43" s="15" t="inlineStr">
        <is>
          <t>images/projects/jawhara/plans/f2.png</t>
        </is>
      </c>
      <c r="T43" s="15" t="inlineStr">
        <is>
          <t>Appartement d'angle, deux facades</t>
        </is>
      </c>
    </row>
    <row r="44">
      <c r="A44" s="8" t="inlineStr">
        <is>
          <t>jawhara</t>
        </is>
      </c>
      <c r="B44" s="8" t="inlineStr">
        <is>
          <t>B</t>
        </is>
      </c>
      <c r="C44" s="8" t="inlineStr">
        <is>
          <t>2</t>
        </is>
      </c>
      <c r="D44" s="9" t="inlineStr">
        <is>
          <t>B-2-01</t>
        </is>
      </c>
      <c r="E44" s="8" t="inlineStr">
        <is>
          <t>F3</t>
        </is>
      </c>
      <c r="F44" s="10" t="n">
        <v>84.5</v>
      </c>
      <c r="G44" s="10" t="n">
        <v>9.5</v>
      </c>
      <c r="H44" s="11">
        <f>F44+G44</f>
        <v/>
      </c>
      <c r="I44" s="8" t="n">
        <v>2</v>
      </c>
      <c r="J44" s="8" t="n">
        <v>2</v>
      </c>
      <c r="K44" s="8" t="inlineStr">
        <is>
          <t>Rue</t>
        </is>
      </c>
      <c r="L44" s="8" t="inlineStr">
        <is>
          <t>Sud-Ouest</t>
        </is>
      </c>
      <c r="M44" s="8" t="inlineStr">
        <is>
          <t>Oui</t>
        </is>
      </c>
      <c r="N44" s="8" t="inlineStr">
        <is>
          <t>Sous-sol</t>
        </is>
      </c>
      <c r="O44" s="12" t="n">
        <v>832000</v>
      </c>
      <c r="P44" s="13">
        <f>IFERROR(O44/F44,"")</f>
        <v/>
      </c>
      <c r="Q44" s="14" t="inlineStr">
        <is>
          <t>Disponible</t>
        </is>
      </c>
      <c r="R44" s="8" t="inlineStr"/>
      <c r="S44" s="15" t="inlineStr">
        <is>
          <t>images/projects/jawhara/plans/f3.png</t>
        </is>
      </c>
      <c r="T44" s="15" t="inlineStr"/>
    </row>
    <row r="45">
      <c r="A45" s="8" t="inlineStr">
        <is>
          <t>jawhara</t>
        </is>
      </c>
      <c r="B45" s="8" t="inlineStr">
        <is>
          <t>B</t>
        </is>
      </c>
      <c r="C45" s="8" t="inlineStr">
        <is>
          <t>2</t>
        </is>
      </c>
      <c r="D45" s="9" t="inlineStr">
        <is>
          <t>B-2-02</t>
        </is>
      </c>
      <c r="E45" s="8" t="inlineStr">
        <is>
          <t>F2</t>
        </is>
      </c>
      <c r="F45" s="10" t="n">
        <v>62</v>
      </c>
      <c r="G45" s="10" t="n">
        <v>7</v>
      </c>
      <c r="H45" s="11">
        <f>F45+G45</f>
        <v/>
      </c>
      <c r="I45" s="8" t="n">
        <v>1</v>
      </c>
      <c r="J45" s="8" t="n">
        <v>1</v>
      </c>
      <c r="K45" s="8" t="inlineStr">
        <is>
          <t>Rue</t>
        </is>
      </c>
      <c r="L45" s="8" t="inlineStr">
        <is>
          <t>Sud-Ouest</t>
        </is>
      </c>
      <c r="M45" s="8" t="inlineStr">
        <is>
          <t>Oui</t>
        </is>
      </c>
      <c r="N45" s="8" t="inlineStr">
        <is>
          <t>Sous-sol</t>
        </is>
      </c>
      <c r="O45" s="12" t="n">
        <v>631000</v>
      </c>
      <c r="P45" s="13">
        <f>IFERROR(O45/F45,"")</f>
        <v/>
      </c>
      <c r="Q45" s="14" t="inlineStr">
        <is>
          <t>Disponible</t>
        </is>
      </c>
      <c r="R45" s="8" t="inlineStr"/>
      <c r="S45" s="15" t="inlineStr">
        <is>
          <t>images/projects/jawhara/plans/f2.png</t>
        </is>
      </c>
      <c r="T45" s="15" t="inlineStr"/>
    </row>
    <row r="46">
      <c r="A46" s="8" t="inlineStr">
        <is>
          <t>jawhara</t>
        </is>
      </c>
      <c r="B46" s="8" t="inlineStr">
        <is>
          <t>B</t>
        </is>
      </c>
      <c r="C46" s="8" t="inlineStr">
        <is>
          <t>2</t>
        </is>
      </c>
      <c r="D46" s="9" t="inlineStr">
        <is>
          <t>B-2-03</t>
        </is>
      </c>
      <c r="E46" s="8" t="inlineStr">
        <is>
          <t>Studio</t>
        </is>
      </c>
      <c r="F46" s="10" t="n">
        <v>35</v>
      </c>
      <c r="G46" s="10" t="n">
        <v>4</v>
      </c>
      <c r="H46" s="11">
        <f>F46+G46</f>
        <v/>
      </c>
      <c r="I46" s="8" t="n">
        <v>0</v>
      </c>
      <c r="J46" s="8" t="n">
        <v>1</v>
      </c>
      <c r="K46" s="8" t="inlineStr">
        <is>
          <t>Cour</t>
        </is>
      </c>
      <c r="L46" s="8" t="inlineStr">
        <is>
          <t>Nord</t>
        </is>
      </c>
      <c r="M46" s="8" t="inlineStr">
        <is>
          <t>Oui</t>
        </is>
      </c>
      <c r="N46" s="8" t="inlineStr">
        <is>
          <t>Sous-sol</t>
        </is>
      </c>
      <c r="O46" s="12" t="n">
        <v>360000</v>
      </c>
      <c r="P46" s="13">
        <f>IFERROR(O46/F46,"")</f>
        <v/>
      </c>
      <c r="Q46" s="19" t="inlineStr">
        <is>
          <t>Bloque</t>
        </is>
      </c>
      <c r="R46" s="8" t="inlineStr"/>
      <c r="S46" s="15" t="inlineStr">
        <is>
          <t>images/projects/jawhara/plans/studio.png</t>
        </is>
      </c>
      <c r="T46" s="15" t="inlineStr">
        <is>
          <t>Logement temoin, non commercialise</t>
        </is>
      </c>
    </row>
    <row r="47">
      <c r="A47" s="8" t="inlineStr">
        <is>
          <t>jawhara</t>
        </is>
      </c>
      <c r="B47" s="8" t="inlineStr">
        <is>
          <t>B</t>
        </is>
      </c>
      <c r="C47" s="8" t="inlineStr">
        <is>
          <t>2</t>
        </is>
      </c>
      <c r="D47" s="9" t="inlineStr">
        <is>
          <t>B-2-04</t>
        </is>
      </c>
      <c r="E47" s="8" t="inlineStr">
        <is>
          <t>F3</t>
        </is>
      </c>
      <c r="F47" s="10" t="n">
        <v>84.5</v>
      </c>
      <c r="G47" s="10" t="n">
        <v>9.5</v>
      </c>
      <c r="H47" s="11">
        <f>F47+G47</f>
        <v/>
      </c>
      <c r="I47" s="8" t="n">
        <v>2</v>
      </c>
      <c r="J47" s="8" t="n">
        <v>2</v>
      </c>
      <c r="K47" s="8" t="inlineStr">
        <is>
          <t>Cour</t>
        </is>
      </c>
      <c r="L47" s="8" t="inlineStr">
        <is>
          <t>Nord-Est</t>
        </is>
      </c>
      <c r="M47" s="8" t="inlineStr">
        <is>
          <t>Oui</t>
        </is>
      </c>
      <c r="N47" s="8" t="inlineStr">
        <is>
          <t>Sous-sol</t>
        </is>
      </c>
      <c r="O47" s="12" t="n">
        <v>808000</v>
      </c>
      <c r="P47" s="13">
        <f>IFERROR(O47/F47,"")</f>
        <v/>
      </c>
      <c r="Q47" s="14" t="inlineStr">
        <is>
          <t>Disponible</t>
        </is>
      </c>
      <c r="R47" s="8" t="inlineStr"/>
      <c r="S47" s="15" t="inlineStr">
        <is>
          <t>images/projects/jawhara/plans/f3.png</t>
        </is>
      </c>
      <c r="T47" s="15" t="inlineStr"/>
    </row>
    <row r="48">
      <c r="A48" s="8" t="inlineStr">
        <is>
          <t>jawhara</t>
        </is>
      </c>
      <c r="B48" s="8" t="inlineStr">
        <is>
          <t>B</t>
        </is>
      </c>
      <c r="C48" s="8" t="inlineStr">
        <is>
          <t>2</t>
        </is>
      </c>
      <c r="D48" s="9" t="inlineStr">
        <is>
          <t>B-2-05</t>
        </is>
      </c>
      <c r="E48" s="8" t="inlineStr">
        <is>
          <t>F4</t>
        </is>
      </c>
      <c r="F48" s="10" t="n">
        <v>110</v>
      </c>
      <c r="G48" s="10" t="n">
        <v>12</v>
      </c>
      <c r="H48" s="11">
        <f>F48+G48</f>
        <v/>
      </c>
      <c r="I48" s="8" t="n">
        <v>3</v>
      </c>
      <c r="J48" s="8" t="n">
        <v>2</v>
      </c>
      <c r="K48" s="8" t="inlineStr">
        <is>
          <t>Double orientation</t>
        </is>
      </c>
      <c r="L48" s="8" t="inlineStr">
        <is>
          <t>Est</t>
        </is>
      </c>
      <c r="M48" s="8" t="inlineStr">
        <is>
          <t>Oui</t>
        </is>
      </c>
      <c r="N48" s="8" t="inlineStr">
        <is>
          <t>Sous-sol</t>
        </is>
      </c>
      <c r="O48" s="12" t="n">
        <v>1080000</v>
      </c>
      <c r="P48" s="13">
        <f>IFERROR(O48/F48,"")</f>
        <v/>
      </c>
      <c r="Q48" s="14" t="inlineStr">
        <is>
          <t>Disponible</t>
        </is>
      </c>
      <c r="R48" s="8" t="inlineStr"/>
      <c r="S48" s="15" t="inlineStr">
        <is>
          <t>images/projects/jawhara/plans/f4.png</t>
        </is>
      </c>
      <c r="T48" s="15" t="inlineStr">
        <is>
          <t>Traversant : lumiere du matin et du soir</t>
        </is>
      </c>
    </row>
    <row r="49">
      <c r="A49" s="8" t="inlineStr">
        <is>
          <t>jawhara</t>
        </is>
      </c>
      <c r="B49" s="8" t="inlineStr">
        <is>
          <t>B</t>
        </is>
      </c>
      <c r="C49" s="8" t="inlineStr">
        <is>
          <t>2</t>
        </is>
      </c>
      <c r="D49" s="9" t="inlineStr">
        <is>
          <t>B-2-06</t>
        </is>
      </c>
      <c r="E49" s="8" t="inlineStr">
        <is>
          <t>F2</t>
        </is>
      </c>
      <c r="F49" s="10" t="n">
        <v>62</v>
      </c>
      <c r="G49" s="10" t="n">
        <v>7</v>
      </c>
      <c r="H49" s="11">
        <f>F49+G49</f>
        <v/>
      </c>
      <c r="I49" s="8" t="n">
        <v>1</v>
      </c>
      <c r="J49" s="8" t="n">
        <v>1</v>
      </c>
      <c r="K49" s="8" t="inlineStr">
        <is>
          <t>Angle</t>
        </is>
      </c>
      <c r="L49" s="8" t="inlineStr">
        <is>
          <t>Nord-Ouest</t>
        </is>
      </c>
      <c r="M49" s="8" t="inlineStr">
        <is>
          <t>Oui</t>
        </is>
      </c>
      <c r="N49" s="8" t="inlineStr">
        <is>
          <t>Sous-sol</t>
        </is>
      </c>
      <c r="O49" s="12" t="n">
        <v>637000</v>
      </c>
      <c r="P49" s="13">
        <f>IFERROR(O49/F49,"")</f>
        <v/>
      </c>
      <c r="Q49" s="14" t="inlineStr">
        <is>
          <t>Disponible</t>
        </is>
      </c>
      <c r="R49" s="8" t="inlineStr"/>
      <c r="S49" s="15" t="inlineStr">
        <is>
          <t>images/projects/jawhara/plans/f2.png</t>
        </is>
      </c>
      <c r="T49" s="15" t="inlineStr">
        <is>
          <t>Appartement d'angle, deux facades</t>
        </is>
      </c>
    </row>
    <row r="50">
      <c r="A50" s="8" t="inlineStr">
        <is>
          <t>jawhara</t>
        </is>
      </c>
      <c r="B50" s="8" t="inlineStr">
        <is>
          <t>B</t>
        </is>
      </c>
      <c r="C50" s="8" t="inlineStr">
        <is>
          <t>3</t>
        </is>
      </c>
      <c r="D50" s="9" t="inlineStr">
        <is>
          <t>B-3-01</t>
        </is>
      </c>
      <c r="E50" s="8" t="inlineStr">
        <is>
          <t>F3</t>
        </is>
      </c>
      <c r="F50" s="10" t="n">
        <v>84.5</v>
      </c>
      <c r="G50" s="10" t="n">
        <v>9.5</v>
      </c>
      <c r="H50" s="11">
        <f>F50+G50</f>
        <v/>
      </c>
      <c r="I50" s="8" t="n">
        <v>2</v>
      </c>
      <c r="J50" s="8" t="n">
        <v>2</v>
      </c>
      <c r="K50" s="8" t="inlineStr">
        <is>
          <t>Rue</t>
        </is>
      </c>
      <c r="L50" s="8" t="inlineStr">
        <is>
          <t>Sud-Ouest</t>
        </is>
      </c>
      <c r="M50" s="8" t="inlineStr">
        <is>
          <t>Oui</t>
        </is>
      </c>
      <c r="N50" s="8" t="inlineStr">
        <is>
          <t>Sous-sol</t>
        </is>
      </c>
      <c r="O50" s="12" t="n">
        <v>848000</v>
      </c>
      <c r="P50" s="13">
        <f>IFERROR(O50/F50,"")</f>
        <v/>
      </c>
      <c r="Q50" s="14" t="inlineStr">
        <is>
          <t>Disponible</t>
        </is>
      </c>
      <c r="R50" s="8" t="inlineStr"/>
      <c r="S50" s="15" t="inlineStr">
        <is>
          <t>images/projects/jawhara/plans/f3.png</t>
        </is>
      </c>
      <c r="T50" s="15" t="inlineStr"/>
    </row>
    <row r="51">
      <c r="A51" s="8" t="inlineStr">
        <is>
          <t>jawhara</t>
        </is>
      </c>
      <c r="B51" s="8" t="inlineStr">
        <is>
          <t>B</t>
        </is>
      </c>
      <c r="C51" s="8" t="inlineStr">
        <is>
          <t>3</t>
        </is>
      </c>
      <c r="D51" s="9" t="inlineStr">
        <is>
          <t>B-3-02</t>
        </is>
      </c>
      <c r="E51" s="8" t="inlineStr">
        <is>
          <t>F2</t>
        </is>
      </c>
      <c r="F51" s="10" t="n">
        <v>62</v>
      </c>
      <c r="G51" s="10" t="n">
        <v>7</v>
      </c>
      <c r="H51" s="11">
        <f>F51+G51</f>
        <v/>
      </c>
      <c r="I51" s="8" t="n">
        <v>1</v>
      </c>
      <c r="J51" s="8" t="n">
        <v>1</v>
      </c>
      <c r="K51" s="8" t="inlineStr">
        <is>
          <t>Rue</t>
        </is>
      </c>
      <c r="L51" s="8" t="inlineStr">
        <is>
          <t>Sud-Ouest</t>
        </is>
      </c>
      <c r="M51" s="8" t="inlineStr">
        <is>
          <t>Oui</t>
        </is>
      </c>
      <c r="N51" s="8" t="inlineStr">
        <is>
          <t>Sous-sol</t>
        </is>
      </c>
      <c r="O51" s="12" t="n">
        <v>643000</v>
      </c>
      <c r="P51" s="13">
        <f>IFERROR(O51/F51,"")</f>
        <v/>
      </c>
      <c r="Q51" s="14" t="inlineStr">
        <is>
          <t>Disponible</t>
        </is>
      </c>
      <c r="R51" s="8" t="inlineStr"/>
      <c r="S51" s="15" t="inlineStr">
        <is>
          <t>images/projects/jawhara/plans/f2.png</t>
        </is>
      </c>
      <c r="T51" s="15" t="inlineStr"/>
    </row>
    <row r="52">
      <c r="A52" s="8" t="inlineStr">
        <is>
          <t>jawhara</t>
        </is>
      </c>
      <c r="B52" s="8" t="inlineStr">
        <is>
          <t>B</t>
        </is>
      </c>
      <c r="C52" s="8" t="inlineStr">
        <is>
          <t>3</t>
        </is>
      </c>
      <c r="D52" s="9" t="inlineStr">
        <is>
          <t>B-3-03</t>
        </is>
      </c>
      <c r="E52" s="8" t="inlineStr">
        <is>
          <t>Studio</t>
        </is>
      </c>
      <c r="F52" s="10" t="n">
        <v>35</v>
      </c>
      <c r="G52" s="10" t="n">
        <v>4</v>
      </c>
      <c r="H52" s="11">
        <f>F52+G52</f>
        <v/>
      </c>
      <c r="I52" s="8" t="n">
        <v>0</v>
      </c>
      <c r="J52" s="8" t="n">
        <v>1</v>
      </c>
      <c r="K52" s="8" t="inlineStr">
        <is>
          <t>Cour</t>
        </is>
      </c>
      <c r="L52" s="8" t="inlineStr">
        <is>
          <t>Nord</t>
        </is>
      </c>
      <c r="M52" s="8" t="inlineStr">
        <is>
          <t>Oui</t>
        </is>
      </c>
      <c r="N52" s="8" t="inlineStr">
        <is>
          <t>Sous-sol</t>
        </is>
      </c>
      <c r="O52" s="12" t="n">
        <v>367000</v>
      </c>
      <c r="P52" s="13">
        <f>IFERROR(O52/F52,"")</f>
        <v/>
      </c>
      <c r="Q52" s="16" t="inlineStr">
        <is>
          <t>Optionne</t>
        </is>
      </c>
      <c r="R52" s="8" t="inlineStr">
        <is>
          <t>2026-08-27</t>
        </is>
      </c>
      <c r="S52" s="15" t="inlineStr">
        <is>
          <t>images/projects/jawhara/plans/studio.png</t>
        </is>
      </c>
      <c r="T52" s="15" t="inlineStr"/>
    </row>
    <row r="53">
      <c r="A53" s="8" t="inlineStr">
        <is>
          <t>jawhara</t>
        </is>
      </c>
      <c r="B53" s="8" t="inlineStr">
        <is>
          <t>B</t>
        </is>
      </c>
      <c r="C53" s="8" t="inlineStr">
        <is>
          <t>3</t>
        </is>
      </c>
      <c r="D53" s="9" t="inlineStr">
        <is>
          <t>B-3-04</t>
        </is>
      </c>
      <c r="E53" s="8" t="inlineStr">
        <is>
          <t>F3</t>
        </is>
      </c>
      <c r="F53" s="10" t="n">
        <v>84.5</v>
      </c>
      <c r="G53" s="10" t="n">
        <v>9.5</v>
      </c>
      <c r="H53" s="11">
        <f>F53+G53</f>
        <v/>
      </c>
      <c r="I53" s="8" t="n">
        <v>2</v>
      </c>
      <c r="J53" s="8" t="n">
        <v>2</v>
      </c>
      <c r="K53" s="8" t="inlineStr">
        <is>
          <t>Cour</t>
        </is>
      </c>
      <c r="L53" s="8" t="inlineStr">
        <is>
          <t>Nord-Est</t>
        </is>
      </c>
      <c r="M53" s="8" t="inlineStr">
        <is>
          <t>Oui</t>
        </is>
      </c>
      <c r="N53" s="8" t="inlineStr">
        <is>
          <t>Sous-sol</t>
        </is>
      </c>
      <c r="O53" s="12" t="n">
        <v>823000</v>
      </c>
      <c r="P53" s="13">
        <f>IFERROR(O53/F53,"")</f>
        <v/>
      </c>
      <c r="Q53" s="17" t="inlineStr">
        <is>
          <t>Vendu</t>
        </is>
      </c>
      <c r="R53" s="8" t="inlineStr"/>
      <c r="S53" s="15" t="inlineStr">
        <is>
          <t>images/projects/jawhara/plans/f3.png</t>
        </is>
      </c>
      <c r="T53" s="15" t="inlineStr"/>
    </row>
    <row r="54">
      <c r="A54" s="8" t="inlineStr">
        <is>
          <t>jawhara</t>
        </is>
      </c>
      <c r="B54" s="8" t="inlineStr">
        <is>
          <t>B</t>
        </is>
      </c>
      <c r="C54" s="8" t="inlineStr">
        <is>
          <t>3</t>
        </is>
      </c>
      <c r="D54" s="9" t="inlineStr">
        <is>
          <t>B-3-05</t>
        </is>
      </c>
      <c r="E54" s="8" t="inlineStr">
        <is>
          <t>F4</t>
        </is>
      </c>
      <c r="F54" s="10" t="n">
        <v>110</v>
      </c>
      <c r="G54" s="10" t="n">
        <v>12</v>
      </c>
      <c r="H54" s="11">
        <f>F54+G54</f>
        <v/>
      </c>
      <c r="I54" s="8" t="n">
        <v>3</v>
      </c>
      <c r="J54" s="8" t="n">
        <v>2</v>
      </c>
      <c r="K54" s="8" t="inlineStr">
        <is>
          <t>Double orientation</t>
        </is>
      </c>
      <c r="L54" s="8" t="inlineStr">
        <is>
          <t>Est</t>
        </is>
      </c>
      <c r="M54" s="8" t="inlineStr">
        <is>
          <t>Oui</t>
        </is>
      </c>
      <c r="N54" s="8" t="inlineStr">
        <is>
          <t>Sous-sol</t>
        </is>
      </c>
      <c r="O54" s="12" t="n">
        <v>1101000</v>
      </c>
      <c r="P54" s="13">
        <f>IFERROR(O54/F54,"")</f>
        <v/>
      </c>
      <c r="Q54" s="17" t="inlineStr">
        <is>
          <t>Vendu</t>
        </is>
      </c>
      <c r="R54" s="8" t="inlineStr"/>
      <c r="S54" s="15" t="inlineStr">
        <is>
          <t>images/projects/jawhara/plans/f4.png</t>
        </is>
      </c>
      <c r="T54" s="15" t="inlineStr">
        <is>
          <t>Traversant : lumiere du matin et du soir</t>
        </is>
      </c>
    </row>
    <row r="55">
      <c r="A55" s="8" t="inlineStr">
        <is>
          <t>jawhara</t>
        </is>
      </c>
      <c r="B55" s="8" t="inlineStr">
        <is>
          <t>B</t>
        </is>
      </c>
      <c r="C55" s="8" t="inlineStr">
        <is>
          <t>3</t>
        </is>
      </c>
      <c r="D55" s="9" t="inlineStr">
        <is>
          <t>B-3-06</t>
        </is>
      </c>
      <c r="E55" s="8" t="inlineStr">
        <is>
          <t>F2</t>
        </is>
      </c>
      <c r="F55" s="10" t="n">
        <v>62</v>
      </c>
      <c r="G55" s="10" t="n">
        <v>7</v>
      </c>
      <c r="H55" s="11">
        <f>F55+G55</f>
        <v/>
      </c>
      <c r="I55" s="8" t="n">
        <v>1</v>
      </c>
      <c r="J55" s="8" t="n">
        <v>1</v>
      </c>
      <c r="K55" s="8" t="inlineStr">
        <is>
          <t>Angle</t>
        </is>
      </c>
      <c r="L55" s="8" t="inlineStr">
        <is>
          <t>Nord-Ouest</t>
        </is>
      </c>
      <c r="M55" s="8" t="inlineStr">
        <is>
          <t>Oui</t>
        </is>
      </c>
      <c r="N55" s="8" t="inlineStr">
        <is>
          <t>Sous-sol</t>
        </is>
      </c>
      <c r="O55" s="12" t="n">
        <v>649000</v>
      </c>
      <c r="P55" s="13">
        <f>IFERROR(O55/F55,"")</f>
        <v/>
      </c>
      <c r="Q55" s="14" t="inlineStr">
        <is>
          <t>Disponible</t>
        </is>
      </c>
      <c r="R55" s="8" t="inlineStr"/>
      <c r="S55" s="15" t="inlineStr">
        <is>
          <t>images/projects/jawhara/plans/f2.png</t>
        </is>
      </c>
      <c r="T55" s="15" t="inlineStr">
        <is>
          <t>Appartement d'angle, deux facades</t>
        </is>
      </c>
    </row>
    <row r="56">
      <c r="A56" s="8" t="inlineStr">
        <is>
          <t>jawhara</t>
        </is>
      </c>
      <c r="B56" s="8" t="inlineStr">
        <is>
          <t>B</t>
        </is>
      </c>
      <c r="C56" s="8" t="inlineStr">
        <is>
          <t>4</t>
        </is>
      </c>
      <c r="D56" s="9" t="inlineStr">
        <is>
          <t>B-4-01</t>
        </is>
      </c>
      <c r="E56" s="8" t="inlineStr">
        <is>
          <t>Duplex</t>
        </is>
      </c>
      <c r="F56" s="10" t="n">
        <v>132.5</v>
      </c>
      <c r="G56" s="10" t="n">
        <v>24</v>
      </c>
      <c r="H56" s="11">
        <f>F56+G56</f>
        <v/>
      </c>
      <c r="I56" s="8" t="n">
        <v>4</v>
      </c>
      <c r="J56" s="8" t="n">
        <v>3</v>
      </c>
      <c r="K56" s="8" t="inlineStr">
        <is>
          <t>Rue</t>
        </is>
      </c>
      <c r="L56" s="8" t="inlineStr">
        <is>
          <t>Sud-Ouest</t>
        </is>
      </c>
      <c r="M56" s="8" t="inlineStr">
        <is>
          <t>Oui</t>
        </is>
      </c>
      <c r="N56" s="8" t="inlineStr">
        <is>
          <t>Sous-sol</t>
        </is>
      </c>
      <c r="O56" s="12" t="n">
        <v>1442000</v>
      </c>
      <c r="P56" s="13">
        <f>IFERROR(O56/F56,"")</f>
        <v/>
      </c>
      <c r="Q56" s="14" t="inlineStr">
        <is>
          <t>Disponible</t>
        </is>
      </c>
      <c r="R56" s="8" t="inlineStr"/>
      <c r="S56" s="15" t="inlineStr">
        <is>
          <t>images/projects/jawhara/plans/duplex.png</t>
        </is>
      </c>
      <c r="T56" s="15" t="inlineStr">
        <is>
          <t>Duplex avec terrasse privative, vue degagee sur l'Atlas</t>
        </is>
      </c>
    </row>
    <row r="57">
      <c r="A57" s="8" t="inlineStr">
        <is>
          <t>jawhara</t>
        </is>
      </c>
      <c r="B57" s="8" t="inlineStr">
        <is>
          <t>B</t>
        </is>
      </c>
      <c r="C57" s="8" t="inlineStr">
        <is>
          <t>4</t>
        </is>
      </c>
      <c r="D57" s="9" t="inlineStr">
        <is>
          <t>B-4-02</t>
        </is>
      </c>
      <c r="E57" s="8" t="inlineStr">
        <is>
          <t>F4</t>
        </is>
      </c>
      <c r="F57" s="10" t="n">
        <v>108.5</v>
      </c>
      <c r="G57" s="10" t="n">
        <v>12</v>
      </c>
      <c r="H57" s="11">
        <f>F57+G57</f>
        <v/>
      </c>
      <c r="I57" s="8" t="n">
        <v>3</v>
      </c>
      <c r="J57" s="8" t="n">
        <v>2</v>
      </c>
      <c r="K57" s="8" t="inlineStr">
        <is>
          <t>Rue</t>
        </is>
      </c>
      <c r="L57" s="8" t="inlineStr">
        <is>
          <t>Sud-Ouest</t>
        </is>
      </c>
      <c r="M57" s="8" t="inlineStr">
        <is>
          <t>Oui</t>
        </is>
      </c>
      <c r="N57" s="8" t="inlineStr">
        <is>
          <t>Sous-sol</t>
        </is>
      </c>
      <c r="O57" s="12" t="n">
        <v>1095000</v>
      </c>
      <c r="P57" s="13">
        <f>IFERROR(O57/F57,"")</f>
        <v/>
      </c>
      <c r="Q57" s="14" t="inlineStr">
        <is>
          <t>Disponible</t>
        </is>
      </c>
      <c r="R57" s="8" t="inlineStr"/>
      <c r="S57" s="15" t="inlineStr">
        <is>
          <t>images/projects/jawhara/plans/f4.png</t>
        </is>
      </c>
      <c r="T57" s="15" t="inlineStr">
        <is>
          <t>Dernier etage, terrasse privative</t>
        </is>
      </c>
    </row>
    <row r="58">
      <c r="A58" s="8" t="inlineStr">
        <is>
          <t>jawhara</t>
        </is>
      </c>
      <c r="B58" s="8" t="inlineStr">
        <is>
          <t>B</t>
        </is>
      </c>
      <c r="C58" s="8" t="inlineStr">
        <is>
          <t>4</t>
        </is>
      </c>
      <c r="D58" s="9" t="inlineStr">
        <is>
          <t>B-4-03</t>
        </is>
      </c>
      <c r="E58" s="8" t="inlineStr">
        <is>
          <t>F2</t>
        </is>
      </c>
      <c r="F58" s="10" t="n">
        <v>62</v>
      </c>
      <c r="G58" s="10" t="n">
        <v>7</v>
      </c>
      <c r="H58" s="11">
        <f>F58+G58</f>
        <v/>
      </c>
      <c r="I58" s="8" t="n">
        <v>1</v>
      </c>
      <c r="J58" s="8" t="n">
        <v>1</v>
      </c>
      <c r="K58" s="8" t="inlineStr">
        <is>
          <t>Cour</t>
        </is>
      </c>
      <c r="L58" s="8" t="inlineStr">
        <is>
          <t>Nord</t>
        </is>
      </c>
      <c r="M58" s="8" t="inlineStr">
        <is>
          <t>Oui</t>
        </is>
      </c>
      <c r="N58" s="8" t="inlineStr">
        <is>
          <t>Sous-sol</t>
        </is>
      </c>
      <c r="O58" s="12" t="n">
        <v>642000</v>
      </c>
      <c r="P58" s="13">
        <f>IFERROR(O58/F58,"")</f>
        <v/>
      </c>
      <c r="Q58" s="16" t="inlineStr">
        <is>
          <t>Optionne</t>
        </is>
      </c>
      <c r="R58" s="8" t="inlineStr">
        <is>
          <t>2026-08-14</t>
        </is>
      </c>
      <c r="S58" s="15" t="inlineStr">
        <is>
          <t>images/projects/jawhara/plans/f2.png</t>
        </is>
      </c>
      <c r="T58" s="15" t="inlineStr">
        <is>
          <t>Dernier etage, terrasse privative</t>
        </is>
      </c>
    </row>
    <row r="59">
      <c r="A59" s="8" t="inlineStr">
        <is>
          <t>jawhara</t>
        </is>
      </c>
      <c r="B59" s="8" t="inlineStr">
        <is>
          <t>B</t>
        </is>
      </c>
      <c r="C59" s="8" t="inlineStr">
        <is>
          <t>4</t>
        </is>
      </c>
      <c r="D59" s="9" t="inlineStr">
        <is>
          <t>B-4-04</t>
        </is>
      </c>
      <c r="E59" s="8" t="inlineStr">
        <is>
          <t>F3</t>
        </is>
      </c>
      <c r="F59" s="10" t="n">
        <v>84.5</v>
      </c>
      <c r="G59" s="10" t="n">
        <v>9.5</v>
      </c>
      <c r="H59" s="11">
        <f>F59+G59</f>
        <v/>
      </c>
      <c r="I59" s="8" t="n">
        <v>2</v>
      </c>
      <c r="J59" s="8" t="n">
        <v>2</v>
      </c>
      <c r="K59" s="8" t="inlineStr">
        <is>
          <t>Cour</t>
        </is>
      </c>
      <c r="L59" s="8" t="inlineStr">
        <is>
          <t>Nord-Est</t>
        </is>
      </c>
      <c r="M59" s="8" t="inlineStr">
        <is>
          <t>Oui</t>
        </is>
      </c>
      <c r="N59" s="8" t="inlineStr">
        <is>
          <t>Sous-sol</t>
        </is>
      </c>
      <c r="O59" s="12" t="n">
        <v>847000</v>
      </c>
      <c r="P59" s="13">
        <f>IFERROR(O59/F59,"")</f>
        <v/>
      </c>
      <c r="Q59" s="14" t="inlineStr">
        <is>
          <t>Disponible</t>
        </is>
      </c>
      <c r="R59" s="8" t="inlineStr"/>
      <c r="S59" s="15" t="inlineStr">
        <is>
          <t>images/projects/jawhara/plans/f3.png</t>
        </is>
      </c>
      <c r="T59" s="15" t="inlineStr">
        <is>
          <t>Dernier etage, terrasse privative</t>
        </is>
      </c>
    </row>
    <row r="60">
      <c r="A60" s="8" t="inlineStr">
        <is>
          <t>jawhara</t>
        </is>
      </c>
      <c r="B60" s="8" t="inlineStr">
        <is>
          <t>B</t>
        </is>
      </c>
      <c r="C60" s="8" t="inlineStr">
        <is>
          <t>4</t>
        </is>
      </c>
      <c r="D60" s="9" t="inlineStr">
        <is>
          <t>B-4-05</t>
        </is>
      </c>
      <c r="E60" s="8" t="inlineStr">
        <is>
          <t>Duplex</t>
        </is>
      </c>
      <c r="F60" s="10" t="n">
        <v>134</v>
      </c>
      <c r="G60" s="10" t="n">
        <v>24</v>
      </c>
      <c r="H60" s="11">
        <f>F60+G60</f>
        <v/>
      </c>
      <c r="I60" s="8" t="n">
        <v>4</v>
      </c>
      <c r="J60" s="8" t="n">
        <v>3</v>
      </c>
      <c r="K60" s="8" t="inlineStr">
        <is>
          <t>Double orientation</t>
        </is>
      </c>
      <c r="L60" s="8" t="inlineStr">
        <is>
          <t>Est</t>
        </is>
      </c>
      <c r="M60" s="8" t="inlineStr">
        <is>
          <t>Oui</t>
        </is>
      </c>
      <c r="N60" s="8" t="inlineStr">
        <is>
          <t>Sous-sol</t>
        </is>
      </c>
      <c r="O60" s="12" t="n">
        <v>1487000</v>
      </c>
      <c r="P60" s="13">
        <f>IFERROR(O60/F60,"")</f>
        <v/>
      </c>
      <c r="Q60" s="14" t="inlineStr">
        <is>
          <t>Disponible</t>
        </is>
      </c>
      <c r="R60" s="8" t="inlineStr"/>
      <c r="S60" s="15" t="inlineStr">
        <is>
          <t>images/projects/jawhara/plans/duplex.png</t>
        </is>
      </c>
      <c r="T60" s="15" t="inlineStr">
        <is>
          <t>Duplex avec terrasse privative, vue degagee sur l'Atlas</t>
        </is>
      </c>
    </row>
    <row r="61">
      <c r="A61" s="8" t="inlineStr">
        <is>
          <t>jawhara</t>
        </is>
      </c>
      <c r="B61" s="8" t="inlineStr">
        <is>
          <t>B</t>
        </is>
      </c>
      <c r="C61" s="8" t="inlineStr">
        <is>
          <t>4</t>
        </is>
      </c>
      <c r="D61" s="9" t="inlineStr">
        <is>
          <t>B-4-06</t>
        </is>
      </c>
      <c r="E61" s="8" t="inlineStr">
        <is>
          <t>F3</t>
        </is>
      </c>
      <c r="F61" s="10" t="n">
        <v>84.5</v>
      </c>
      <c r="G61" s="10" t="n">
        <v>9.5</v>
      </c>
      <c r="H61" s="11">
        <f>F61+G61</f>
        <v/>
      </c>
      <c r="I61" s="8" t="n">
        <v>2</v>
      </c>
      <c r="J61" s="8" t="n">
        <v>2</v>
      </c>
      <c r="K61" s="8" t="inlineStr">
        <is>
          <t>Angle</t>
        </is>
      </c>
      <c r="L61" s="8" t="inlineStr">
        <is>
          <t>Nord-Ouest</t>
        </is>
      </c>
      <c r="M61" s="8" t="inlineStr">
        <is>
          <t>Oui</t>
        </is>
      </c>
      <c r="N61" s="8" t="inlineStr">
        <is>
          <t>Sous-sol</t>
        </is>
      </c>
      <c r="O61" s="12" t="n">
        <v>880000</v>
      </c>
      <c r="P61" s="13">
        <f>IFERROR(O61/F61,"")</f>
        <v/>
      </c>
      <c r="Q61" s="14" t="inlineStr">
        <is>
          <t>Disponible</t>
        </is>
      </c>
      <c r="R61" s="8" t="inlineStr"/>
      <c r="S61" s="15" t="inlineStr">
        <is>
          <t>images/projects/jawhara/plans/f3.png</t>
        </is>
      </c>
      <c r="T61" s="15" t="inlineStr">
        <is>
          <t>Dernier etage, terrasse privative</t>
        </is>
      </c>
    </row>
    <row r="62">
      <c r="A62" s="8" t="inlineStr">
        <is>
          <t>jawhara</t>
        </is>
      </c>
      <c r="B62" s="8" t="inlineStr">
        <is>
          <t>C</t>
        </is>
      </c>
      <c r="C62" s="8" t="inlineStr">
        <is>
          <t>RDC</t>
        </is>
      </c>
      <c r="D62" s="9" t="inlineStr">
        <is>
          <t>C-RDC-01</t>
        </is>
      </c>
      <c r="E62" s="8" t="inlineStr">
        <is>
          <t>Commerce</t>
        </is>
      </c>
      <c r="F62" s="10" t="n">
        <v>47</v>
      </c>
      <c r="G62" s="10" t="n">
        <v>0</v>
      </c>
      <c r="H62" s="11">
        <f>F62+G62</f>
        <v/>
      </c>
      <c r="I62" s="8" t="n">
        <v>0</v>
      </c>
      <c r="J62" s="8" t="n">
        <v>1</v>
      </c>
      <c r="K62" s="8" t="inlineStr">
        <is>
          <t>Angle</t>
        </is>
      </c>
      <c r="L62" s="8" t="inlineStr">
        <is>
          <t>Sud-Ouest</t>
        </is>
      </c>
      <c r="M62" s="8" t="inlineStr">
        <is>
          <t>Oui</t>
        </is>
      </c>
      <c r="N62" s="8" t="inlineStr">
        <is>
          <t>Aucun</t>
        </is>
      </c>
      <c r="O62" s="12" t="n">
        <v>730000</v>
      </c>
      <c r="P62" s="13">
        <f>IFERROR(O62/F62,"")</f>
        <v/>
      </c>
      <c r="Q62" s="14" t="inlineStr">
        <is>
          <t>Disponible</t>
        </is>
      </c>
      <c r="R62" s="8" t="inlineStr"/>
      <c r="S62" s="15" t="inlineStr"/>
      <c r="T62" s="15" t="inlineStr">
        <is>
          <t>Local commercial avec vitrine sur la voie principale</t>
        </is>
      </c>
    </row>
    <row r="63">
      <c r="A63" s="8" t="inlineStr">
        <is>
          <t>jawhara</t>
        </is>
      </c>
      <c r="B63" s="8" t="inlineStr">
        <is>
          <t>C</t>
        </is>
      </c>
      <c r="C63" s="8" t="inlineStr">
        <is>
          <t>RDC</t>
        </is>
      </c>
      <c r="D63" s="9" t="inlineStr">
        <is>
          <t>C-RDC-02</t>
        </is>
      </c>
      <c r="E63" s="8" t="inlineStr">
        <is>
          <t>Commerce</t>
        </is>
      </c>
      <c r="F63" s="10" t="n">
        <v>47</v>
      </c>
      <c r="G63" s="10" t="n">
        <v>0</v>
      </c>
      <c r="H63" s="11">
        <f>F63+G63</f>
        <v/>
      </c>
      <c r="I63" s="8" t="n">
        <v>0</v>
      </c>
      <c r="J63" s="8" t="n">
        <v>1</v>
      </c>
      <c r="K63" s="8" t="inlineStr">
        <is>
          <t>Rue</t>
        </is>
      </c>
      <c r="L63" s="8" t="inlineStr">
        <is>
          <t>Sud-Ouest</t>
        </is>
      </c>
      <c r="M63" s="8" t="inlineStr">
        <is>
          <t>Oui</t>
        </is>
      </c>
      <c r="N63" s="8" t="inlineStr">
        <is>
          <t>Aucun</t>
        </is>
      </c>
      <c r="O63" s="12" t="n">
        <v>723000</v>
      </c>
      <c r="P63" s="13">
        <f>IFERROR(O63/F63,"")</f>
        <v/>
      </c>
      <c r="Q63" s="14" t="inlineStr">
        <is>
          <t>Disponible</t>
        </is>
      </c>
      <c r="R63" s="8" t="inlineStr"/>
      <c r="S63" s="15" t="inlineStr"/>
      <c r="T63" s="15" t="inlineStr">
        <is>
          <t>Local commercial avec vitrine sur la voie principale</t>
        </is>
      </c>
    </row>
    <row r="64">
      <c r="A64" s="8" t="inlineStr">
        <is>
          <t>jawhara</t>
        </is>
      </c>
      <c r="B64" s="8" t="inlineStr">
        <is>
          <t>C</t>
        </is>
      </c>
      <c r="C64" s="8" t="inlineStr">
        <is>
          <t>RDC</t>
        </is>
      </c>
      <c r="D64" s="9" t="inlineStr">
        <is>
          <t>C-RDC-03</t>
        </is>
      </c>
      <c r="E64" s="8" t="inlineStr">
        <is>
          <t>Bureau</t>
        </is>
      </c>
      <c r="F64" s="10" t="n">
        <v>53</v>
      </c>
      <c r="G64" s="10" t="n">
        <v>0</v>
      </c>
      <c r="H64" s="11">
        <f>F64+G64</f>
        <v/>
      </c>
      <c r="I64" s="8" t="n">
        <v>0</v>
      </c>
      <c r="J64" s="8" t="n">
        <v>1</v>
      </c>
      <c r="K64" s="8" t="inlineStr">
        <is>
          <t>Rue</t>
        </is>
      </c>
      <c r="L64" s="8" t="inlineStr">
        <is>
          <t>Sud</t>
        </is>
      </c>
      <c r="M64" s="8" t="inlineStr">
        <is>
          <t>Oui</t>
        </is>
      </c>
      <c r="N64" s="8" t="inlineStr">
        <is>
          <t>Aucun</t>
        </is>
      </c>
      <c r="O64" s="12" t="n">
        <v>675000</v>
      </c>
      <c r="P64" s="13">
        <f>IFERROR(O64/F64,"")</f>
        <v/>
      </c>
      <c r="Q64" s="14" t="inlineStr">
        <is>
          <t>Disponible</t>
        </is>
      </c>
      <c r="R64" s="8" t="inlineStr"/>
      <c r="S64" s="15" t="inlineStr"/>
      <c r="T64" s="15" t="inlineStr">
        <is>
          <t>Plateau de bureau modulable, entree independante</t>
        </is>
      </c>
    </row>
    <row r="65">
      <c r="A65" s="8" t="inlineStr">
        <is>
          <t>jawhara</t>
        </is>
      </c>
      <c r="B65" s="8" t="inlineStr">
        <is>
          <t>C</t>
        </is>
      </c>
      <c r="C65" s="8" t="inlineStr">
        <is>
          <t>RDC</t>
        </is>
      </c>
      <c r="D65" s="9" t="inlineStr">
        <is>
          <t>C-RDC-04</t>
        </is>
      </c>
      <c r="E65" s="8" t="inlineStr">
        <is>
          <t>F2</t>
        </is>
      </c>
      <c r="F65" s="10" t="n">
        <v>62.5</v>
      </c>
      <c r="G65" s="10" t="n">
        <v>7</v>
      </c>
      <c r="H65" s="11">
        <f>F65+G65</f>
        <v/>
      </c>
      <c r="I65" s="8" t="n">
        <v>1</v>
      </c>
      <c r="J65" s="8" t="n">
        <v>1</v>
      </c>
      <c r="K65" s="8" t="inlineStr">
        <is>
          <t>Jardin</t>
        </is>
      </c>
      <c r="L65" s="8" t="inlineStr">
        <is>
          <t>Nord-Est</t>
        </is>
      </c>
      <c r="M65" s="8" t="inlineStr">
        <is>
          <t>Oui</t>
        </is>
      </c>
      <c r="N65" s="8" t="inlineStr">
        <is>
          <t>Exterieur</t>
        </is>
      </c>
      <c r="O65" s="12" t="n">
        <v>617000</v>
      </c>
      <c r="P65" s="13">
        <f>IFERROR(O65/F65,"")</f>
        <v/>
      </c>
      <c r="Q65" s="14" t="inlineStr">
        <is>
          <t>Disponible</t>
        </is>
      </c>
      <c r="R65" s="8" t="inlineStr"/>
      <c r="S65" s="15" t="inlineStr">
        <is>
          <t>images/projects/jawhara/plans/f2.png</t>
        </is>
      </c>
      <c r="T65" s="15" t="inlineStr">
        <is>
          <t>Acces direct au jardin interieur, ideal pour une famille</t>
        </is>
      </c>
    </row>
    <row r="66">
      <c r="A66" s="8" t="inlineStr">
        <is>
          <t>jawhara</t>
        </is>
      </c>
      <c r="B66" s="8" t="inlineStr">
        <is>
          <t>C</t>
        </is>
      </c>
      <c r="C66" s="8" t="inlineStr">
        <is>
          <t>RDC</t>
        </is>
      </c>
      <c r="D66" s="9" t="inlineStr">
        <is>
          <t>C-RDC-05</t>
        </is>
      </c>
      <c r="E66" s="8" t="inlineStr">
        <is>
          <t>F3</t>
        </is>
      </c>
      <c r="F66" s="10" t="n">
        <v>86.5</v>
      </c>
      <c r="G66" s="10" t="n">
        <v>9.5</v>
      </c>
      <c r="H66" s="11">
        <f>F66+G66</f>
        <v/>
      </c>
      <c r="I66" s="8" t="n">
        <v>2</v>
      </c>
      <c r="J66" s="8" t="n">
        <v>2</v>
      </c>
      <c r="K66" s="8" t="inlineStr">
        <is>
          <t>Jardin</t>
        </is>
      </c>
      <c r="L66" s="8" t="inlineStr">
        <is>
          <t>Nord-Est</t>
        </is>
      </c>
      <c r="M66" s="8" t="inlineStr">
        <is>
          <t>Oui</t>
        </is>
      </c>
      <c r="N66" s="8" t="inlineStr">
        <is>
          <t>Exterieur</t>
        </is>
      </c>
      <c r="O66" s="12" t="n">
        <v>827000</v>
      </c>
      <c r="P66" s="13">
        <f>IFERROR(O66/F66,"")</f>
        <v/>
      </c>
      <c r="Q66" s="16" t="inlineStr">
        <is>
          <t>Optionne</t>
        </is>
      </c>
      <c r="R66" s="8" t="inlineStr">
        <is>
          <t>2026-08-09</t>
        </is>
      </c>
      <c r="S66" s="15" t="inlineStr">
        <is>
          <t>images/projects/jawhara/plans/f3.png</t>
        </is>
      </c>
      <c r="T66" s="15" t="inlineStr">
        <is>
          <t>Acces direct au jardin interieur, ideal pour une famille</t>
        </is>
      </c>
    </row>
    <row r="67">
      <c r="A67" s="8" t="inlineStr">
        <is>
          <t>jawhara</t>
        </is>
      </c>
      <c r="B67" s="8" t="inlineStr">
        <is>
          <t>C</t>
        </is>
      </c>
      <c r="C67" s="8" t="inlineStr">
        <is>
          <t>RDC</t>
        </is>
      </c>
      <c r="D67" s="9" t="inlineStr">
        <is>
          <t>C-RDC-06</t>
        </is>
      </c>
      <c r="E67" s="8" t="inlineStr">
        <is>
          <t>F2</t>
        </is>
      </c>
      <c r="F67" s="10" t="n">
        <v>62.5</v>
      </c>
      <c r="G67" s="10" t="n">
        <v>7</v>
      </c>
      <c r="H67" s="11">
        <f>F67+G67</f>
        <v/>
      </c>
      <c r="I67" s="8" t="n">
        <v>1</v>
      </c>
      <c r="J67" s="8" t="n">
        <v>1</v>
      </c>
      <c r="K67" s="8" t="inlineStr">
        <is>
          <t>Cour</t>
        </is>
      </c>
      <c r="L67" s="8" t="inlineStr">
        <is>
          <t>Nord</t>
        </is>
      </c>
      <c r="M67" s="8" t="inlineStr">
        <is>
          <t>Oui</t>
        </is>
      </c>
      <c r="N67" s="8" t="inlineStr">
        <is>
          <t>Exterieur</t>
        </is>
      </c>
      <c r="O67" s="12" t="n">
        <v>605000</v>
      </c>
      <c r="P67" s="13">
        <f>IFERROR(O67/F67,"")</f>
        <v/>
      </c>
      <c r="Q67" s="14" t="inlineStr">
        <is>
          <t>Disponible</t>
        </is>
      </c>
      <c r="R67" s="8" t="inlineStr"/>
      <c r="S67" s="15" t="inlineStr">
        <is>
          <t>images/projects/jawhara/plans/f2.png</t>
        </is>
      </c>
      <c r="T67" s="15" t="inlineStr"/>
    </row>
    <row r="68">
      <c r="A68" s="8" t="inlineStr">
        <is>
          <t>jawhara</t>
        </is>
      </c>
      <c r="B68" s="8" t="inlineStr">
        <is>
          <t>C</t>
        </is>
      </c>
      <c r="C68" s="8" t="inlineStr">
        <is>
          <t>1</t>
        </is>
      </c>
      <c r="D68" s="9" t="inlineStr">
        <is>
          <t>C-1-01</t>
        </is>
      </c>
      <c r="E68" s="8" t="inlineStr">
        <is>
          <t>F3</t>
        </is>
      </c>
      <c r="F68" s="10" t="n">
        <v>85</v>
      </c>
      <c r="G68" s="10" t="n">
        <v>9.5</v>
      </c>
      <c r="H68" s="11">
        <f>F68+G68</f>
        <v/>
      </c>
      <c r="I68" s="8" t="n">
        <v>2</v>
      </c>
      <c r="J68" s="8" t="n">
        <v>2</v>
      </c>
      <c r="K68" s="8" t="inlineStr">
        <is>
          <t>Rue</t>
        </is>
      </c>
      <c r="L68" s="8" t="inlineStr">
        <is>
          <t>Sud-Ouest</t>
        </is>
      </c>
      <c r="M68" s="8" t="inlineStr">
        <is>
          <t>Oui</t>
        </is>
      </c>
      <c r="N68" s="8" t="inlineStr">
        <is>
          <t>Sous-sol</t>
        </is>
      </c>
      <c r="O68" s="12" t="n">
        <v>837000</v>
      </c>
      <c r="P68" s="13">
        <f>IFERROR(O68/F68,"")</f>
        <v/>
      </c>
      <c r="Q68" s="14" t="inlineStr">
        <is>
          <t>Disponible</t>
        </is>
      </c>
      <c r="R68" s="8" t="inlineStr"/>
      <c r="S68" s="15" t="inlineStr">
        <is>
          <t>images/projects/jawhara/plans/f3.png</t>
        </is>
      </c>
      <c r="T68" s="15" t="inlineStr"/>
    </row>
    <row r="69">
      <c r="A69" s="8" t="inlineStr">
        <is>
          <t>jawhara</t>
        </is>
      </c>
      <c r="B69" s="8" t="inlineStr">
        <is>
          <t>C</t>
        </is>
      </c>
      <c r="C69" s="8" t="inlineStr">
        <is>
          <t>1</t>
        </is>
      </c>
      <c r="D69" s="9" t="inlineStr">
        <is>
          <t>C-1-02</t>
        </is>
      </c>
      <c r="E69" s="8" t="inlineStr">
        <is>
          <t>F2</t>
        </is>
      </c>
      <c r="F69" s="10" t="n">
        <v>62.5</v>
      </c>
      <c r="G69" s="10" t="n">
        <v>7</v>
      </c>
      <c r="H69" s="11">
        <f>F69+G69</f>
        <v/>
      </c>
      <c r="I69" s="8" t="n">
        <v>1</v>
      </c>
      <c r="J69" s="8" t="n">
        <v>1</v>
      </c>
      <c r="K69" s="8" t="inlineStr">
        <is>
          <t>Rue</t>
        </is>
      </c>
      <c r="L69" s="8" t="inlineStr">
        <is>
          <t>Sud-Ouest</t>
        </is>
      </c>
      <c r="M69" s="8" t="inlineStr">
        <is>
          <t>Oui</t>
        </is>
      </c>
      <c r="N69" s="8" t="inlineStr">
        <is>
          <t>Sous-sol</t>
        </is>
      </c>
      <c r="O69" s="12" t="n">
        <v>636000</v>
      </c>
      <c r="P69" s="13">
        <f>IFERROR(O69/F69,"")</f>
        <v/>
      </c>
      <c r="Q69" s="14" t="inlineStr">
        <is>
          <t>Disponible</t>
        </is>
      </c>
      <c r="R69" s="8" t="inlineStr"/>
      <c r="S69" s="15" t="inlineStr">
        <is>
          <t>images/projects/jawhara/plans/f2.png</t>
        </is>
      </c>
      <c r="T69" s="15" t="inlineStr"/>
    </row>
    <row r="70">
      <c r="A70" s="8" t="inlineStr">
        <is>
          <t>jawhara</t>
        </is>
      </c>
      <c r="B70" s="8" t="inlineStr">
        <is>
          <t>C</t>
        </is>
      </c>
      <c r="C70" s="8" t="inlineStr">
        <is>
          <t>1</t>
        </is>
      </c>
      <c r="D70" s="9" t="inlineStr">
        <is>
          <t>C-1-03</t>
        </is>
      </c>
      <c r="E70" s="8" t="inlineStr">
        <is>
          <t>Studio</t>
        </is>
      </c>
      <c r="F70" s="10" t="n">
        <v>35.5</v>
      </c>
      <c r="G70" s="10" t="n">
        <v>4</v>
      </c>
      <c r="H70" s="11">
        <f>F70+G70</f>
        <v/>
      </c>
      <c r="I70" s="8" t="n">
        <v>0</v>
      </c>
      <c r="J70" s="8" t="n">
        <v>1</v>
      </c>
      <c r="K70" s="8" t="inlineStr">
        <is>
          <t>Cour</t>
        </is>
      </c>
      <c r="L70" s="8" t="inlineStr">
        <is>
          <t>Nord</t>
        </is>
      </c>
      <c r="M70" s="8" t="inlineStr">
        <is>
          <t>Oui</t>
        </is>
      </c>
      <c r="N70" s="8" t="inlineStr">
        <is>
          <t>Sous-sol</t>
        </is>
      </c>
      <c r="O70" s="12" t="n">
        <v>366000</v>
      </c>
      <c r="P70" s="13">
        <f>IFERROR(O70/F70,"")</f>
        <v/>
      </c>
      <c r="Q70" s="14" t="inlineStr">
        <is>
          <t>Disponible</t>
        </is>
      </c>
      <c r="R70" s="8" t="inlineStr"/>
      <c r="S70" s="15" t="inlineStr">
        <is>
          <t>images/projects/jawhara/plans/studio.png</t>
        </is>
      </c>
      <c r="T70" s="15" t="inlineStr"/>
    </row>
    <row r="71">
      <c r="A71" s="8" t="inlineStr">
        <is>
          <t>jawhara</t>
        </is>
      </c>
      <c r="B71" s="8" t="inlineStr">
        <is>
          <t>C</t>
        </is>
      </c>
      <c r="C71" s="8" t="inlineStr">
        <is>
          <t>1</t>
        </is>
      </c>
      <c r="D71" s="9" t="inlineStr">
        <is>
          <t>C-1-04</t>
        </is>
      </c>
      <c r="E71" s="8" t="inlineStr">
        <is>
          <t>F3</t>
        </is>
      </c>
      <c r="F71" s="10" t="n">
        <v>85</v>
      </c>
      <c r="G71" s="10" t="n">
        <v>9.5</v>
      </c>
      <c r="H71" s="11">
        <f>F71+G71</f>
        <v/>
      </c>
      <c r="I71" s="8" t="n">
        <v>2</v>
      </c>
      <c r="J71" s="8" t="n">
        <v>2</v>
      </c>
      <c r="K71" s="8" t="inlineStr">
        <is>
          <t>Cour</t>
        </is>
      </c>
      <c r="L71" s="8" t="inlineStr">
        <is>
          <t>Nord-Est</t>
        </is>
      </c>
      <c r="M71" s="8" t="inlineStr">
        <is>
          <t>Oui</t>
        </is>
      </c>
      <c r="N71" s="8" t="inlineStr">
        <is>
          <t>Sous-sol</t>
        </is>
      </c>
      <c r="O71" s="12" t="n">
        <v>813000</v>
      </c>
      <c r="P71" s="13">
        <f>IFERROR(O71/F71,"")</f>
        <v/>
      </c>
      <c r="Q71" s="14" t="inlineStr">
        <is>
          <t>Disponible</t>
        </is>
      </c>
      <c r="R71" s="8" t="inlineStr"/>
      <c r="S71" s="15" t="inlineStr">
        <is>
          <t>images/projects/jawhara/plans/f3.png</t>
        </is>
      </c>
      <c r="T71" s="15" t="inlineStr"/>
    </row>
    <row r="72">
      <c r="A72" s="8" t="inlineStr">
        <is>
          <t>jawhara</t>
        </is>
      </c>
      <c r="B72" s="8" t="inlineStr">
        <is>
          <t>C</t>
        </is>
      </c>
      <c r="C72" s="8" t="inlineStr">
        <is>
          <t>1</t>
        </is>
      </c>
      <c r="D72" s="9" t="inlineStr">
        <is>
          <t>C-1-05</t>
        </is>
      </c>
      <c r="E72" s="8" t="inlineStr">
        <is>
          <t>F4</t>
        </is>
      </c>
      <c r="F72" s="10" t="n">
        <v>110.5</v>
      </c>
      <c r="G72" s="10" t="n">
        <v>12</v>
      </c>
      <c r="H72" s="11">
        <f>F72+G72</f>
        <v/>
      </c>
      <c r="I72" s="8" t="n">
        <v>3</v>
      </c>
      <c r="J72" s="8" t="n">
        <v>2</v>
      </c>
      <c r="K72" s="8" t="inlineStr">
        <is>
          <t>Double orientation</t>
        </is>
      </c>
      <c r="L72" s="8" t="inlineStr">
        <is>
          <t>Est</t>
        </is>
      </c>
      <c r="M72" s="8" t="inlineStr">
        <is>
          <t>Oui</t>
        </is>
      </c>
      <c r="N72" s="8" t="inlineStr">
        <is>
          <t>Sous-sol</t>
        </is>
      </c>
      <c r="O72" s="12" t="n">
        <v>1085000</v>
      </c>
      <c r="P72" s="13">
        <f>IFERROR(O72/F72,"")</f>
        <v/>
      </c>
      <c r="Q72" s="17" t="inlineStr">
        <is>
          <t>Vendu</t>
        </is>
      </c>
      <c r="R72" s="8" t="inlineStr"/>
      <c r="S72" s="15" t="inlineStr">
        <is>
          <t>images/projects/jawhara/plans/f4.png</t>
        </is>
      </c>
      <c r="T72" s="15" t="inlineStr">
        <is>
          <t>Traversant : lumiere du matin et du soir</t>
        </is>
      </c>
    </row>
    <row r="73">
      <c r="A73" s="8" t="inlineStr">
        <is>
          <t>jawhara</t>
        </is>
      </c>
      <c r="B73" s="8" t="inlineStr">
        <is>
          <t>C</t>
        </is>
      </c>
      <c r="C73" s="8" t="inlineStr">
        <is>
          <t>1</t>
        </is>
      </c>
      <c r="D73" s="9" t="inlineStr">
        <is>
          <t>C-1-06</t>
        </is>
      </c>
      <c r="E73" s="8" t="inlineStr">
        <is>
          <t>F2</t>
        </is>
      </c>
      <c r="F73" s="10" t="n">
        <v>62.5</v>
      </c>
      <c r="G73" s="10" t="n">
        <v>7</v>
      </c>
      <c r="H73" s="11">
        <f>F73+G73</f>
        <v/>
      </c>
      <c r="I73" s="8" t="n">
        <v>1</v>
      </c>
      <c r="J73" s="8" t="n">
        <v>1</v>
      </c>
      <c r="K73" s="8" t="inlineStr">
        <is>
          <t>Angle</t>
        </is>
      </c>
      <c r="L73" s="8" t="inlineStr">
        <is>
          <t>Nord-Ouest</t>
        </is>
      </c>
      <c r="M73" s="8" t="inlineStr">
        <is>
          <t>Oui</t>
        </is>
      </c>
      <c r="N73" s="8" t="inlineStr">
        <is>
          <t>Sous-sol</t>
        </is>
      </c>
      <c r="O73" s="12" t="n">
        <v>642000</v>
      </c>
      <c r="P73" s="13">
        <f>IFERROR(O73/F73,"")</f>
        <v/>
      </c>
      <c r="Q73" s="14" t="inlineStr">
        <is>
          <t>Disponible</t>
        </is>
      </c>
      <c r="R73" s="8" t="inlineStr"/>
      <c r="S73" s="15" t="inlineStr">
        <is>
          <t>images/projects/jawhara/plans/f2.png</t>
        </is>
      </c>
      <c r="T73" s="15" t="inlineStr">
        <is>
          <t>Appartement d'angle, deux facades</t>
        </is>
      </c>
    </row>
    <row r="74">
      <c r="A74" s="8" t="inlineStr">
        <is>
          <t>jawhara</t>
        </is>
      </c>
      <c r="B74" s="8" t="inlineStr">
        <is>
          <t>C</t>
        </is>
      </c>
      <c r="C74" s="8" t="inlineStr">
        <is>
          <t>2</t>
        </is>
      </c>
      <c r="D74" s="9" t="inlineStr">
        <is>
          <t>C-2-01</t>
        </is>
      </c>
      <c r="E74" s="8" t="inlineStr">
        <is>
          <t>F3</t>
        </is>
      </c>
      <c r="F74" s="10" t="n">
        <v>85</v>
      </c>
      <c r="G74" s="10" t="n">
        <v>9.5</v>
      </c>
      <c r="H74" s="11">
        <f>F74+G74</f>
        <v/>
      </c>
      <c r="I74" s="8" t="n">
        <v>2</v>
      </c>
      <c r="J74" s="8" t="n">
        <v>2</v>
      </c>
      <c r="K74" s="8" t="inlineStr">
        <is>
          <t>Rue</t>
        </is>
      </c>
      <c r="L74" s="8" t="inlineStr">
        <is>
          <t>Sud-Ouest</t>
        </is>
      </c>
      <c r="M74" s="8" t="inlineStr">
        <is>
          <t>Oui</t>
        </is>
      </c>
      <c r="N74" s="8" t="inlineStr">
        <is>
          <t>Sous-sol</t>
        </is>
      </c>
      <c r="O74" s="12" t="n">
        <v>853000</v>
      </c>
      <c r="P74" s="13">
        <f>IFERROR(O74/F74,"")</f>
        <v/>
      </c>
      <c r="Q74" s="14" t="inlineStr">
        <is>
          <t>Disponible</t>
        </is>
      </c>
      <c r="R74" s="8" t="inlineStr"/>
      <c r="S74" s="15" t="inlineStr">
        <is>
          <t>images/projects/jawhara/plans/f3.png</t>
        </is>
      </c>
      <c r="T74" s="15" t="inlineStr"/>
    </row>
    <row r="75">
      <c r="A75" s="8" t="inlineStr">
        <is>
          <t>jawhara</t>
        </is>
      </c>
      <c r="B75" s="8" t="inlineStr">
        <is>
          <t>C</t>
        </is>
      </c>
      <c r="C75" s="8" t="inlineStr">
        <is>
          <t>2</t>
        </is>
      </c>
      <c r="D75" s="9" t="inlineStr">
        <is>
          <t>C-2-02</t>
        </is>
      </c>
      <c r="E75" s="8" t="inlineStr">
        <is>
          <t>F2</t>
        </is>
      </c>
      <c r="F75" s="10" t="n">
        <v>62.5</v>
      </c>
      <c r="G75" s="10" t="n">
        <v>7</v>
      </c>
      <c r="H75" s="11">
        <f>F75+G75</f>
        <v/>
      </c>
      <c r="I75" s="8" t="n">
        <v>1</v>
      </c>
      <c r="J75" s="8" t="n">
        <v>1</v>
      </c>
      <c r="K75" s="8" t="inlineStr">
        <is>
          <t>Rue</t>
        </is>
      </c>
      <c r="L75" s="8" t="inlineStr">
        <is>
          <t>Sud-Ouest</t>
        </is>
      </c>
      <c r="M75" s="8" t="inlineStr">
        <is>
          <t>Oui</t>
        </is>
      </c>
      <c r="N75" s="8" t="inlineStr">
        <is>
          <t>Sous-sol</t>
        </is>
      </c>
      <c r="O75" s="12" t="n">
        <v>648000</v>
      </c>
      <c r="P75" s="13">
        <f>IFERROR(O75/F75,"")</f>
        <v/>
      </c>
      <c r="Q75" s="14" t="inlineStr">
        <is>
          <t>Disponible</t>
        </is>
      </c>
      <c r="R75" s="8" t="inlineStr"/>
      <c r="S75" s="15" t="inlineStr">
        <is>
          <t>images/projects/jawhara/plans/f2.png</t>
        </is>
      </c>
      <c r="T75" s="15" t="inlineStr"/>
    </row>
    <row r="76">
      <c r="A76" s="8" t="inlineStr">
        <is>
          <t>jawhara</t>
        </is>
      </c>
      <c r="B76" s="8" t="inlineStr">
        <is>
          <t>C</t>
        </is>
      </c>
      <c r="C76" s="8" t="inlineStr">
        <is>
          <t>2</t>
        </is>
      </c>
      <c r="D76" s="9" t="inlineStr">
        <is>
          <t>C-2-03</t>
        </is>
      </c>
      <c r="E76" s="8" t="inlineStr">
        <is>
          <t>Studio</t>
        </is>
      </c>
      <c r="F76" s="10" t="n">
        <v>35.5</v>
      </c>
      <c r="G76" s="10" t="n">
        <v>4</v>
      </c>
      <c r="H76" s="11">
        <f>F76+G76</f>
        <v/>
      </c>
      <c r="I76" s="8" t="n">
        <v>0</v>
      </c>
      <c r="J76" s="8" t="n">
        <v>1</v>
      </c>
      <c r="K76" s="8" t="inlineStr">
        <is>
          <t>Cour</t>
        </is>
      </c>
      <c r="L76" s="8" t="inlineStr">
        <is>
          <t>Nord</t>
        </is>
      </c>
      <c r="M76" s="8" t="inlineStr">
        <is>
          <t>Oui</t>
        </is>
      </c>
      <c r="N76" s="8" t="inlineStr">
        <is>
          <t>Sous-sol</t>
        </is>
      </c>
      <c r="O76" s="12" t="n">
        <v>373000</v>
      </c>
      <c r="P76" s="13">
        <f>IFERROR(O76/F76,"")</f>
        <v/>
      </c>
      <c r="Q76" s="19" t="inlineStr">
        <is>
          <t>Bloque</t>
        </is>
      </c>
      <c r="R76" s="8" t="inlineStr"/>
      <c r="S76" s="15" t="inlineStr">
        <is>
          <t>images/projects/jawhara/plans/studio.png</t>
        </is>
      </c>
      <c r="T76" s="15" t="inlineStr">
        <is>
          <t>Logement temoin, non commercialise</t>
        </is>
      </c>
    </row>
    <row r="77">
      <c r="A77" s="8" t="inlineStr">
        <is>
          <t>jawhara</t>
        </is>
      </c>
      <c r="B77" s="8" t="inlineStr">
        <is>
          <t>C</t>
        </is>
      </c>
      <c r="C77" s="8" t="inlineStr">
        <is>
          <t>2</t>
        </is>
      </c>
      <c r="D77" s="9" t="inlineStr">
        <is>
          <t>C-2-04</t>
        </is>
      </c>
      <c r="E77" s="8" t="inlineStr">
        <is>
          <t>F3</t>
        </is>
      </c>
      <c r="F77" s="10" t="n">
        <v>85</v>
      </c>
      <c r="G77" s="10" t="n">
        <v>9.5</v>
      </c>
      <c r="H77" s="11">
        <f>F77+G77</f>
        <v/>
      </c>
      <c r="I77" s="8" t="n">
        <v>2</v>
      </c>
      <c r="J77" s="8" t="n">
        <v>2</v>
      </c>
      <c r="K77" s="8" t="inlineStr">
        <is>
          <t>Cour</t>
        </is>
      </c>
      <c r="L77" s="8" t="inlineStr">
        <is>
          <t>Nord-Est</t>
        </is>
      </c>
      <c r="M77" s="8" t="inlineStr">
        <is>
          <t>Oui</t>
        </is>
      </c>
      <c r="N77" s="8" t="inlineStr">
        <is>
          <t>Sous-sol</t>
        </is>
      </c>
      <c r="O77" s="12" t="n">
        <v>829000</v>
      </c>
      <c r="P77" s="13">
        <f>IFERROR(O77/F77,"")</f>
        <v/>
      </c>
      <c r="Q77" s="14" t="inlineStr">
        <is>
          <t>Disponible</t>
        </is>
      </c>
      <c r="R77" s="8" t="inlineStr"/>
      <c r="S77" s="15" t="inlineStr">
        <is>
          <t>images/projects/jawhara/plans/f3.png</t>
        </is>
      </c>
      <c r="T77" s="15" t="inlineStr"/>
    </row>
    <row r="78">
      <c r="A78" s="8" t="inlineStr">
        <is>
          <t>jawhara</t>
        </is>
      </c>
      <c r="B78" s="8" t="inlineStr">
        <is>
          <t>C</t>
        </is>
      </c>
      <c r="C78" s="8" t="inlineStr">
        <is>
          <t>2</t>
        </is>
      </c>
      <c r="D78" s="9" t="inlineStr">
        <is>
          <t>C-2-05</t>
        </is>
      </c>
      <c r="E78" s="8" t="inlineStr">
        <is>
          <t>F4</t>
        </is>
      </c>
      <c r="F78" s="10" t="n">
        <v>110.5</v>
      </c>
      <c r="G78" s="10" t="n">
        <v>12</v>
      </c>
      <c r="H78" s="11">
        <f>F78+G78</f>
        <v/>
      </c>
      <c r="I78" s="8" t="n">
        <v>3</v>
      </c>
      <c r="J78" s="8" t="n">
        <v>2</v>
      </c>
      <c r="K78" s="8" t="inlineStr">
        <is>
          <t>Double orientation</t>
        </is>
      </c>
      <c r="L78" s="8" t="inlineStr">
        <is>
          <t>Est</t>
        </is>
      </c>
      <c r="M78" s="8" t="inlineStr">
        <is>
          <t>Oui</t>
        </is>
      </c>
      <c r="N78" s="8" t="inlineStr">
        <is>
          <t>Sous-sol</t>
        </is>
      </c>
      <c r="O78" s="12" t="n">
        <v>1106000</v>
      </c>
      <c r="P78" s="13">
        <f>IFERROR(O78/F78,"")</f>
        <v/>
      </c>
      <c r="Q78" s="14" t="inlineStr">
        <is>
          <t>Disponible</t>
        </is>
      </c>
      <c r="R78" s="8" t="inlineStr"/>
      <c r="S78" s="15" t="inlineStr">
        <is>
          <t>images/projects/jawhara/plans/f4.png</t>
        </is>
      </c>
      <c r="T78" s="15" t="inlineStr">
        <is>
          <t>Traversant : lumiere du matin et du soir</t>
        </is>
      </c>
    </row>
    <row r="79">
      <c r="A79" s="8" t="inlineStr">
        <is>
          <t>jawhara</t>
        </is>
      </c>
      <c r="B79" s="8" t="inlineStr">
        <is>
          <t>C</t>
        </is>
      </c>
      <c r="C79" s="8" t="inlineStr">
        <is>
          <t>2</t>
        </is>
      </c>
      <c r="D79" s="9" t="inlineStr">
        <is>
          <t>C-2-06</t>
        </is>
      </c>
      <c r="E79" s="8" t="inlineStr">
        <is>
          <t>F2</t>
        </is>
      </c>
      <c r="F79" s="10" t="n">
        <v>62.5</v>
      </c>
      <c r="G79" s="10" t="n">
        <v>7</v>
      </c>
      <c r="H79" s="11">
        <f>F79+G79</f>
        <v/>
      </c>
      <c r="I79" s="8" t="n">
        <v>1</v>
      </c>
      <c r="J79" s="8" t="n">
        <v>1</v>
      </c>
      <c r="K79" s="8" t="inlineStr">
        <is>
          <t>Angle</t>
        </is>
      </c>
      <c r="L79" s="8" t="inlineStr">
        <is>
          <t>Nord-Ouest</t>
        </is>
      </c>
      <c r="M79" s="8" t="inlineStr">
        <is>
          <t>Oui</t>
        </is>
      </c>
      <c r="N79" s="8" t="inlineStr">
        <is>
          <t>Sous-sol</t>
        </is>
      </c>
      <c r="O79" s="12" t="n">
        <v>655000</v>
      </c>
      <c r="P79" s="13">
        <f>IFERROR(O79/F79,"")</f>
        <v/>
      </c>
      <c r="Q79" s="14" t="inlineStr">
        <is>
          <t>Disponible</t>
        </is>
      </c>
      <c r="R79" s="8" t="inlineStr"/>
      <c r="S79" s="15" t="inlineStr">
        <is>
          <t>images/projects/jawhara/plans/f2.png</t>
        </is>
      </c>
      <c r="T79" s="15" t="inlineStr">
        <is>
          <t>Appartement d'angle, deux facades</t>
        </is>
      </c>
    </row>
    <row r="80">
      <c r="A80" s="8" t="inlineStr">
        <is>
          <t>jawhara</t>
        </is>
      </c>
      <c r="B80" s="8" t="inlineStr">
        <is>
          <t>C</t>
        </is>
      </c>
      <c r="C80" s="8" t="inlineStr">
        <is>
          <t>3</t>
        </is>
      </c>
      <c r="D80" s="9" t="inlineStr">
        <is>
          <t>C-3-01</t>
        </is>
      </c>
      <c r="E80" s="8" t="inlineStr">
        <is>
          <t>F3</t>
        </is>
      </c>
      <c r="F80" s="10" t="n">
        <v>85</v>
      </c>
      <c r="G80" s="10" t="n">
        <v>9.5</v>
      </c>
      <c r="H80" s="11">
        <f>F80+G80</f>
        <v/>
      </c>
      <c r="I80" s="8" t="n">
        <v>2</v>
      </c>
      <c r="J80" s="8" t="n">
        <v>2</v>
      </c>
      <c r="K80" s="8" t="inlineStr">
        <is>
          <t>Rue</t>
        </is>
      </c>
      <c r="L80" s="8" t="inlineStr">
        <is>
          <t>Sud-Ouest</t>
        </is>
      </c>
      <c r="M80" s="8" t="inlineStr">
        <is>
          <t>Oui</t>
        </is>
      </c>
      <c r="N80" s="8" t="inlineStr">
        <is>
          <t>Sous-sol</t>
        </is>
      </c>
      <c r="O80" s="12" t="n">
        <v>870000</v>
      </c>
      <c r="P80" s="13">
        <f>IFERROR(O80/F80,"")</f>
        <v/>
      </c>
      <c r="Q80" s="14" t="inlineStr">
        <is>
          <t>Disponible</t>
        </is>
      </c>
      <c r="R80" s="8" t="inlineStr"/>
      <c r="S80" s="15" t="inlineStr">
        <is>
          <t>images/projects/jawhara/plans/f3.png</t>
        </is>
      </c>
      <c r="T80" s="15" t="inlineStr"/>
    </row>
    <row r="81">
      <c r="A81" s="8" t="inlineStr">
        <is>
          <t>jawhara</t>
        </is>
      </c>
      <c r="B81" s="8" t="inlineStr">
        <is>
          <t>C</t>
        </is>
      </c>
      <c r="C81" s="8" t="inlineStr">
        <is>
          <t>3</t>
        </is>
      </c>
      <c r="D81" s="9" t="inlineStr">
        <is>
          <t>C-3-02</t>
        </is>
      </c>
      <c r="E81" s="8" t="inlineStr">
        <is>
          <t>F2</t>
        </is>
      </c>
      <c r="F81" s="10" t="n">
        <v>62.5</v>
      </c>
      <c r="G81" s="10" t="n">
        <v>7</v>
      </c>
      <c r="H81" s="11">
        <f>F81+G81</f>
        <v/>
      </c>
      <c r="I81" s="8" t="n">
        <v>1</v>
      </c>
      <c r="J81" s="8" t="n">
        <v>1</v>
      </c>
      <c r="K81" s="8" t="inlineStr">
        <is>
          <t>Rue</t>
        </is>
      </c>
      <c r="L81" s="8" t="inlineStr">
        <is>
          <t>Sud-Ouest</t>
        </is>
      </c>
      <c r="M81" s="8" t="inlineStr">
        <is>
          <t>Oui</t>
        </is>
      </c>
      <c r="N81" s="8" t="inlineStr">
        <is>
          <t>Sous-sol</t>
        </is>
      </c>
      <c r="O81" s="12" t="n">
        <v>661000</v>
      </c>
      <c r="P81" s="13">
        <f>IFERROR(O81/F81,"")</f>
        <v/>
      </c>
      <c r="Q81" s="14" t="inlineStr">
        <is>
          <t>Disponible</t>
        </is>
      </c>
      <c r="R81" s="8" t="inlineStr"/>
      <c r="S81" s="15" t="inlineStr">
        <is>
          <t>images/projects/jawhara/plans/f2.png</t>
        </is>
      </c>
      <c r="T81" s="15" t="inlineStr"/>
    </row>
    <row r="82">
      <c r="A82" s="8" t="inlineStr">
        <is>
          <t>jawhara</t>
        </is>
      </c>
      <c r="B82" s="8" t="inlineStr">
        <is>
          <t>C</t>
        </is>
      </c>
      <c r="C82" s="8" t="inlineStr">
        <is>
          <t>3</t>
        </is>
      </c>
      <c r="D82" s="9" t="inlineStr">
        <is>
          <t>C-3-03</t>
        </is>
      </c>
      <c r="E82" s="8" t="inlineStr">
        <is>
          <t>Studio</t>
        </is>
      </c>
      <c r="F82" s="10" t="n">
        <v>35.5</v>
      </c>
      <c r="G82" s="10" t="n">
        <v>4</v>
      </c>
      <c r="H82" s="11">
        <f>F82+G82</f>
        <v/>
      </c>
      <c r="I82" s="8" t="n">
        <v>0</v>
      </c>
      <c r="J82" s="8" t="n">
        <v>1</v>
      </c>
      <c r="K82" s="8" t="inlineStr">
        <is>
          <t>Cour</t>
        </is>
      </c>
      <c r="L82" s="8" t="inlineStr">
        <is>
          <t>Nord</t>
        </is>
      </c>
      <c r="M82" s="8" t="inlineStr">
        <is>
          <t>Oui</t>
        </is>
      </c>
      <c r="N82" s="8" t="inlineStr">
        <is>
          <t>Sous-sol</t>
        </is>
      </c>
      <c r="O82" s="12" t="n">
        <v>380000</v>
      </c>
      <c r="P82" s="13">
        <f>IFERROR(O82/F82,"")</f>
        <v/>
      </c>
      <c r="Q82" s="14" t="inlineStr">
        <is>
          <t>Disponible</t>
        </is>
      </c>
      <c r="R82" s="8" t="inlineStr"/>
      <c r="S82" s="15" t="inlineStr">
        <is>
          <t>images/projects/jawhara/plans/studio.png</t>
        </is>
      </c>
      <c r="T82" s="15" t="inlineStr"/>
    </row>
    <row r="83">
      <c r="A83" s="8" t="inlineStr">
        <is>
          <t>jawhara</t>
        </is>
      </c>
      <c r="B83" s="8" t="inlineStr">
        <is>
          <t>C</t>
        </is>
      </c>
      <c r="C83" s="8" t="inlineStr">
        <is>
          <t>3</t>
        </is>
      </c>
      <c r="D83" s="9" t="inlineStr">
        <is>
          <t>C-3-04</t>
        </is>
      </c>
      <c r="E83" s="8" t="inlineStr">
        <is>
          <t>F3</t>
        </is>
      </c>
      <c r="F83" s="10" t="n">
        <v>85</v>
      </c>
      <c r="G83" s="10" t="n">
        <v>9.5</v>
      </c>
      <c r="H83" s="11">
        <f>F83+G83</f>
        <v/>
      </c>
      <c r="I83" s="8" t="n">
        <v>2</v>
      </c>
      <c r="J83" s="8" t="n">
        <v>2</v>
      </c>
      <c r="K83" s="8" t="inlineStr">
        <is>
          <t>Cour</t>
        </is>
      </c>
      <c r="L83" s="8" t="inlineStr">
        <is>
          <t>Nord-Est</t>
        </is>
      </c>
      <c r="M83" s="8" t="inlineStr">
        <is>
          <t>Oui</t>
        </is>
      </c>
      <c r="N83" s="8" t="inlineStr">
        <is>
          <t>Sous-sol</t>
        </is>
      </c>
      <c r="O83" s="12" t="n">
        <v>845000</v>
      </c>
      <c r="P83" s="13">
        <f>IFERROR(O83/F83,"")</f>
        <v/>
      </c>
      <c r="Q83" s="14" t="inlineStr">
        <is>
          <t>Disponible</t>
        </is>
      </c>
      <c r="R83" s="8" t="inlineStr"/>
      <c r="S83" s="15" t="inlineStr">
        <is>
          <t>images/projects/jawhara/plans/f3.png</t>
        </is>
      </c>
      <c r="T83" s="15" t="inlineStr"/>
    </row>
    <row r="84">
      <c r="A84" s="8" t="inlineStr">
        <is>
          <t>jawhara</t>
        </is>
      </c>
      <c r="B84" s="8" t="inlineStr">
        <is>
          <t>C</t>
        </is>
      </c>
      <c r="C84" s="8" t="inlineStr">
        <is>
          <t>3</t>
        </is>
      </c>
      <c r="D84" s="9" t="inlineStr">
        <is>
          <t>C-3-05</t>
        </is>
      </c>
      <c r="E84" s="8" t="inlineStr">
        <is>
          <t>F4</t>
        </is>
      </c>
      <c r="F84" s="10" t="n">
        <v>110.5</v>
      </c>
      <c r="G84" s="10" t="n">
        <v>12</v>
      </c>
      <c r="H84" s="11">
        <f>F84+G84</f>
        <v/>
      </c>
      <c r="I84" s="8" t="n">
        <v>3</v>
      </c>
      <c r="J84" s="8" t="n">
        <v>2</v>
      </c>
      <c r="K84" s="8" t="inlineStr">
        <is>
          <t>Double orientation</t>
        </is>
      </c>
      <c r="L84" s="8" t="inlineStr">
        <is>
          <t>Est</t>
        </is>
      </c>
      <c r="M84" s="8" t="inlineStr">
        <is>
          <t>Oui</t>
        </is>
      </c>
      <c r="N84" s="8" t="inlineStr">
        <is>
          <t>Sous-sol</t>
        </is>
      </c>
      <c r="O84" s="12" t="n">
        <v>1127000</v>
      </c>
      <c r="P84" s="13">
        <f>IFERROR(O84/F84,"")</f>
        <v/>
      </c>
      <c r="Q84" s="14" t="inlineStr">
        <is>
          <t>Disponible</t>
        </is>
      </c>
      <c r="R84" s="8" t="inlineStr"/>
      <c r="S84" s="15" t="inlineStr">
        <is>
          <t>images/projects/jawhara/plans/f4.png</t>
        </is>
      </c>
      <c r="T84" s="15" t="inlineStr">
        <is>
          <t>Traversant : lumiere du matin et du soir</t>
        </is>
      </c>
    </row>
    <row r="85">
      <c r="A85" s="8" t="inlineStr">
        <is>
          <t>jawhara</t>
        </is>
      </c>
      <c r="B85" s="8" t="inlineStr">
        <is>
          <t>C</t>
        </is>
      </c>
      <c r="C85" s="8" t="inlineStr">
        <is>
          <t>3</t>
        </is>
      </c>
      <c r="D85" s="9" t="inlineStr">
        <is>
          <t>C-3-06</t>
        </is>
      </c>
      <c r="E85" s="8" t="inlineStr">
        <is>
          <t>F2</t>
        </is>
      </c>
      <c r="F85" s="10" t="n">
        <v>62.5</v>
      </c>
      <c r="G85" s="10" t="n">
        <v>7</v>
      </c>
      <c r="H85" s="11">
        <f>F85+G85</f>
        <v/>
      </c>
      <c r="I85" s="8" t="n">
        <v>1</v>
      </c>
      <c r="J85" s="8" t="n">
        <v>1</v>
      </c>
      <c r="K85" s="8" t="inlineStr">
        <is>
          <t>Angle</t>
        </is>
      </c>
      <c r="L85" s="8" t="inlineStr">
        <is>
          <t>Nord-Ouest</t>
        </is>
      </c>
      <c r="M85" s="8" t="inlineStr">
        <is>
          <t>Oui</t>
        </is>
      </c>
      <c r="N85" s="8" t="inlineStr">
        <is>
          <t>Sous-sol</t>
        </is>
      </c>
      <c r="O85" s="12" t="n">
        <v>667000</v>
      </c>
      <c r="P85" s="13">
        <f>IFERROR(O85/F85,"")</f>
        <v/>
      </c>
      <c r="Q85" s="14" t="inlineStr">
        <is>
          <t>Disponible</t>
        </is>
      </c>
      <c r="R85" s="8" t="inlineStr"/>
      <c r="S85" s="15" t="inlineStr">
        <is>
          <t>images/projects/jawhara/plans/f2.png</t>
        </is>
      </c>
      <c r="T85" s="15" t="inlineStr">
        <is>
          <t>Appartement d'angle, deux facades</t>
        </is>
      </c>
    </row>
    <row r="86">
      <c r="A86" s="8" t="inlineStr">
        <is>
          <t>jawhara</t>
        </is>
      </c>
      <c r="B86" s="8" t="inlineStr">
        <is>
          <t>C</t>
        </is>
      </c>
      <c r="C86" s="8" t="inlineStr">
        <is>
          <t>4</t>
        </is>
      </c>
      <c r="D86" s="9" t="inlineStr">
        <is>
          <t>C-4-01</t>
        </is>
      </c>
      <c r="E86" s="8" t="inlineStr">
        <is>
          <t>Duplex</t>
        </is>
      </c>
      <c r="F86" s="10" t="n">
        <v>133</v>
      </c>
      <c r="G86" s="10" t="n">
        <v>24</v>
      </c>
      <c r="H86" s="11">
        <f>F86+G86</f>
        <v/>
      </c>
      <c r="I86" s="8" t="n">
        <v>4</v>
      </c>
      <c r="J86" s="8" t="n">
        <v>3</v>
      </c>
      <c r="K86" s="8" t="inlineStr">
        <is>
          <t>Rue</t>
        </is>
      </c>
      <c r="L86" s="8" t="inlineStr">
        <is>
          <t>Sud-Ouest</t>
        </is>
      </c>
      <c r="M86" s="8" t="inlineStr">
        <is>
          <t>Oui</t>
        </is>
      </c>
      <c r="N86" s="8" t="inlineStr">
        <is>
          <t>Sous-sol</t>
        </is>
      </c>
      <c r="O86" s="12" t="n">
        <v>1476000</v>
      </c>
      <c r="P86" s="13">
        <f>IFERROR(O86/F86,"")</f>
        <v/>
      </c>
      <c r="Q86" s="14" t="inlineStr">
        <is>
          <t>Disponible</t>
        </is>
      </c>
      <c r="R86" s="8" t="inlineStr"/>
      <c r="S86" s="15" t="inlineStr">
        <is>
          <t>images/projects/jawhara/plans/duplex.png</t>
        </is>
      </c>
      <c r="T86" s="15" t="inlineStr">
        <is>
          <t>Duplex avec terrasse privative, vue degagee sur l'Atlas</t>
        </is>
      </c>
    </row>
    <row r="87">
      <c r="A87" s="8" t="inlineStr">
        <is>
          <t>jawhara</t>
        </is>
      </c>
      <c r="B87" s="8" t="inlineStr">
        <is>
          <t>C</t>
        </is>
      </c>
      <c r="C87" s="8" t="inlineStr">
        <is>
          <t>4</t>
        </is>
      </c>
      <c r="D87" s="9" t="inlineStr">
        <is>
          <t>C-4-02</t>
        </is>
      </c>
      <c r="E87" s="8" t="inlineStr">
        <is>
          <t>F4</t>
        </is>
      </c>
      <c r="F87" s="10" t="n">
        <v>109</v>
      </c>
      <c r="G87" s="10" t="n">
        <v>12</v>
      </c>
      <c r="H87" s="11">
        <f>F87+G87</f>
        <v/>
      </c>
      <c r="I87" s="8" t="n">
        <v>3</v>
      </c>
      <c r="J87" s="8" t="n">
        <v>2</v>
      </c>
      <c r="K87" s="8" t="inlineStr">
        <is>
          <t>Rue</t>
        </is>
      </c>
      <c r="L87" s="8" t="inlineStr">
        <is>
          <t>Sud-Ouest</t>
        </is>
      </c>
      <c r="M87" s="8" t="inlineStr">
        <is>
          <t>Oui</t>
        </is>
      </c>
      <c r="N87" s="8" t="inlineStr">
        <is>
          <t>Sous-sol</t>
        </is>
      </c>
      <c r="O87" s="12" t="n">
        <v>1122000</v>
      </c>
      <c r="P87" s="13">
        <f>IFERROR(O87/F87,"")</f>
        <v/>
      </c>
      <c r="Q87" s="14" t="inlineStr">
        <is>
          <t>Disponible</t>
        </is>
      </c>
      <c r="R87" s="8" t="inlineStr"/>
      <c r="S87" s="15" t="inlineStr">
        <is>
          <t>images/projects/jawhara/plans/f4.png</t>
        </is>
      </c>
      <c r="T87" s="15" t="inlineStr">
        <is>
          <t>Dernier etage, terrasse privative</t>
        </is>
      </c>
    </row>
    <row r="88">
      <c r="A88" s="8" t="inlineStr">
        <is>
          <t>jawhara</t>
        </is>
      </c>
      <c r="B88" s="8" t="inlineStr">
        <is>
          <t>C</t>
        </is>
      </c>
      <c r="C88" s="8" t="inlineStr">
        <is>
          <t>4</t>
        </is>
      </c>
      <c r="D88" s="9" t="inlineStr">
        <is>
          <t>C-4-03</t>
        </is>
      </c>
      <c r="E88" s="8" t="inlineStr">
        <is>
          <t>F2</t>
        </is>
      </c>
      <c r="F88" s="10" t="n">
        <v>62.5</v>
      </c>
      <c r="G88" s="10" t="n">
        <v>7</v>
      </c>
      <c r="H88" s="11">
        <f>F88+G88</f>
        <v/>
      </c>
      <c r="I88" s="8" t="n">
        <v>1</v>
      </c>
      <c r="J88" s="8" t="n">
        <v>1</v>
      </c>
      <c r="K88" s="8" t="inlineStr">
        <is>
          <t>Cour</t>
        </is>
      </c>
      <c r="L88" s="8" t="inlineStr">
        <is>
          <t>Nord</t>
        </is>
      </c>
      <c r="M88" s="8" t="inlineStr">
        <is>
          <t>Oui</t>
        </is>
      </c>
      <c r="N88" s="8" t="inlineStr">
        <is>
          <t>Sous-sol</t>
        </is>
      </c>
      <c r="O88" s="12" t="n">
        <v>660000</v>
      </c>
      <c r="P88" s="13">
        <f>IFERROR(O88/F88,"")</f>
        <v/>
      </c>
      <c r="Q88" s="14" t="inlineStr">
        <is>
          <t>Disponible</t>
        </is>
      </c>
      <c r="R88" s="8" t="inlineStr"/>
      <c r="S88" s="15" t="inlineStr">
        <is>
          <t>images/projects/jawhara/plans/f2.png</t>
        </is>
      </c>
      <c r="T88" s="15" t="inlineStr">
        <is>
          <t>Dernier etage, terrasse privative</t>
        </is>
      </c>
    </row>
    <row r="89">
      <c r="A89" s="8" t="inlineStr">
        <is>
          <t>jawhara</t>
        </is>
      </c>
      <c r="B89" s="8" t="inlineStr">
        <is>
          <t>C</t>
        </is>
      </c>
      <c r="C89" s="8" t="inlineStr">
        <is>
          <t>4</t>
        </is>
      </c>
      <c r="D89" s="9" t="inlineStr">
        <is>
          <t>C-4-04</t>
        </is>
      </c>
      <c r="E89" s="8" t="inlineStr">
        <is>
          <t>F3</t>
        </is>
      </c>
      <c r="F89" s="10" t="n">
        <v>85</v>
      </c>
      <c r="G89" s="10" t="n">
        <v>9.5</v>
      </c>
      <c r="H89" s="11">
        <f>F89+G89</f>
        <v/>
      </c>
      <c r="I89" s="8" t="n">
        <v>2</v>
      </c>
      <c r="J89" s="8" t="n">
        <v>2</v>
      </c>
      <c r="K89" s="8" t="inlineStr">
        <is>
          <t>Cour</t>
        </is>
      </c>
      <c r="L89" s="8" t="inlineStr">
        <is>
          <t>Nord-Est</t>
        </is>
      </c>
      <c r="M89" s="8" t="inlineStr">
        <is>
          <t>Oui</t>
        </is>
      </c>
      <c r="N89" s="8" t="inlineStr">
        <is>
          <t>Sous-sol</t>
        </is>
      </c>
      <c r="O89" s="12" t="n">
        <v>868000</v>
      </c>
      <c r="P89" s="13">
        <f>IFERROR(O89/F89,"")</f>
        <v/>
      </c>
      <c r="Q89" s="18" t="inlineStr">
        <is>
          <t>Reserve</t>
        </is>
      </c>
      <c r="R89" s="8" t="inlineStr"/>
      <c r="S89" s="15" t="inlineStr">
        <is>
          <t>images/projects/jawhara/plans/f3.png</t>
        </is>
      </c>
      <c r="T89" s="15" t="inlineStr">
        <is>
          <t>Dernier etage, terrasse privative</t>
        </is>
      </c>
    </row>
    <row r="90">
      <c r="A90" s="8" t="inlineStr">
        <is>
          <t>jawhara</t>
        </is>
      </c>
      <c r="B90" s="8" t="inlineStr">
        <is>
          <t>C</t>
        </is>
      </c>
      <c r="C90" s="8" t="inlineStr">
        <is>
          <t>4</t>
        </is>
      </c>
      <c r="D90" s="9" t="inlineStr">
        <is>
          <t>C-4-05</t>
        </is>
      </c>
      <c r="E90" s="8" t="inlineStr">
        <is>
          <t>Duplex</t>
        </is>
      </c>
      <c r="F90" s="10" t="n">
        <v>134.5</v>
      </c>
      <c r="G90" s="10" t="n">
        <v>24</v>
      </c>
      <c r="H90" s="11">
        <f>F90+G90</f>
        <v/>
      </c>
      <c r="I90" s="8" t="n">
        <v>4</v>
      </c>
      <c r="J90" s="8" t="n">
        <v>3</v>
      </c>
      <c r="K90" s="8" t="inlineStr">
        <is>
          <t>Double orientation</t>
        </is>
      </c>
      <c r="L90" s="8" t="inlineStr">
        <is>
          <t>Est</t>
        </is>
      </c>
      <c r="M90" s="8" t="inlineStr">
        <is>
          <t>Oui</t>
        </is>
      </c>
      <c r="N90" s="8" t="inlineStr">
        <is>
          <t>Sous-sol</t>
        </is>
      </c>
      <c r="O90" s="12" t="n">
        <v>1522000</v>
      </c>
      <c r="P90" s="13">
        <f>IFERROR(O90/F90,"")</f>
        <v/>
      </c>
      <c r="Q90" s="14" t="inlineStr">
        <is>
          <t>Disponible</t>
        </is>
      </c>
      <c r="R90" s="8" t="inlineStr"/>
      <c r="S90" s="15" t="inlineStr">
        <is>
          <t>images/projects/jawhara/plans/duplex.png</t>
        </is>
      </c>
      <c r="T90" s="15" t="inlineStr">
        <is>
          <t>Duplex avec terrasse privative, vue degagee sur l'Atlas</t>
        </is>
      </c>
    </row>
    <row r="91">
      <c r="A91" s="8" t="inlineStr">
        <is>
          <t>jawhara</t>
        </is>
      </c>
      <c r="B91" s="8" t="inlineStr">
        <is>
          <t>C</t>
        </is>
      </c>
      <c r="C91" s="8" t="inlineStr">
        <is>
          <t>4</t>
        </is>
      </c>
      <c r="D91" s="9" t="inlineStr">
        <is>
          <t>C-4-06</t>
        </is>
      </c>
      <c r="E91" s="8" t="inlineStr">
        <is>
          <t>F3</t>
        </is>
      </c>
      <c r="F91" s="10" t="n">
        <v>85</v>
      </c>
      <c r="G91" s="10" t="n">
        <v>9.5</v>
      </c>
      <c r="H91" s="11">
        <f>F91+G91</f>
        <v/>
      </c>
      <c r="I91" s="8" t="n">
        <v>2</v>
      </c>
      <c r="J91" s="8" t="n">
        <v>2</v>
      </c>
      <c r="K91" s="8" t="inlineStr">
        <is>
          <t>Angle</t>
        </is>
      </c>
      <c r="L91" s="8" t="inlineStr">
        <is>
          <t>Nord-Ouest</t>
        </is>
      </c>
      <c r="M91" s="8" t="inlineStr">
        <is>
          <t>Oui</t>
        </is>
      </c>
      <c r="N91" s="8" t="inlineStr">
        <is>
          <t>Sous-sol</t>
        </is>
      </c>
      <c r="O91" s="12" t="n">
        <v>903000</v>
      </c>
      <c r="P91" s="13">
        <f>IFERROR(O91/F91,"")</f>
        <v/>
      </c>
      <c r="Q91" s="14" t="inlineStr">
        <is>
          <t>Disponible</t>
        </is>
      </c>
      <c r="R91" s="8" t="inlineStr"/>
      <c r="S91" s="15" t="inlineStr">
        <is>
          <t>images/projects/jawhara/plans/f3.png</t>
        </is>
      </c>
      <c r="T91" s="15" t="inlineStr">
        <is>
          <t>Dernier etage, terrasse privative</t>
        </is>
      </c>
    </row>
  </sheetData>
  <autoFilter ref="A1:T91"/>
  <dataValidations count="8">
    <dataValidation sqref="E2:E490" showDropDown="0" showInputMessage="0" showErrorMessage="1" allowBlank="1" errorTitle="Saisie invalide" error="Valeur non autorisee. Choisir dans la liste." type="list">
      <formula1>"Studio,F2,F3,F4,F5,Duplex,Bureau,Commerce"</formula1>
    </dataValidation>
    <dataValidation sqref="K2:K490" showDropDown="0" showInputMessage="0" showErrorMessage="1" allowBlank="1" errorTitle="Saisie invalide" error="Valeur non autorisee. Choisir dans la liste." type="list">
      <formula1>"Rue,Cour,Jardin,Double orientation,Angle"</formula1>
    </dataValidation>
    <dataValidation sqref="L2:L490" showDropDown="0" showInputMessage="0" showErrorMessage="1" allowBlank="1" errorTitle="Saisie invalide" error="Valeur non autorisee. Choisir dans la liste." type="list">
      <formula1>"Nord,Nord-Est,Est,Sud-Est,Sud,Sud-Ouest,Ouest,Nord-Ouest"</formula1>
    </dataValidation>
    <dataValidation sqref="Q2:Q490" showDropDown="0" showInputMessage="0" showErrorMessage="1" allowBlank="1" errorTitle="Saisie invalide" error="Valeur non autorisee. Choisir dans la liste." type="list">
      <formula1>"Disponible,Optionne,Reserve,Vendu,Bloque"</formula1>
    </dataValidation>
    <dataValidation sqref="M2:M490" showDropDown="0" showInputMessage="0" showErrorMessage="1" allowBlank="1" errorTitle="Saisie invalide" error="Valeur non autorisee. Choisir dans la liste." type="list">
      <formula1>"Oui,Non"</formula1>
    </dataValidation>
    <dataValidation sqref="N2:N490" showDropDown="0" showInputMessage="0" showErrorMessage="1" allowBlank="1" errorTitle="Saisie invalide" error="Valeur non autorisee. Choisir dans la liste." type="list">
      <formula1>"Aucun,Sous-sol,Exterieur,Box"</formula1>
    </dataValidation>
    <dataValidation sqref="C2:C490" showDropDown="0" showInputMessage="0" showErrorMessage="1" allowBlank="1" errorTitle="Saisie invalide" error="Valeur non autorisee. Choisir dans la liste." type="list">
      <formula1>"RDC,1,2,3,4"</formula1>
    </dataValidation>
    <dataValidation sqref="B2:B490" showDropDown="0" showInputMessage="0" showErrorMessage="1" allowBlank="1" errorTitle="Saisie invalide" error="Valeur non autorisee. Choisir dans la liste.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</cols>
  <sheetData>
    <row r="1" ht="26" customHeight="1">
      <c r="A1" s="20" t="inlineStr">
        <is>
          <t>Etat de la commercialisation</t>
        </is>
      </c>
    </row>
    <row r="2">
      <c r="A2" s="21" t="inlineStr">
        <is>
          <t>Se recalcule automatiquement depuis l'onglet Lots.</t>
        </is>
      </c>
    </row>
    <row r="4">
      <c r="A4" s="4" t="inlineStr">
        <is>
          <t>Par immeuble</t>
        </is>
      </c>
    </row>
    <row r="5">
      <c r="A5" s="22" t="inlineStr"/>
      <c r="B5" s="22" t="inlineStr">
        <is>
          <t>Disponible</t>
        </is>
      </c>
      <c r="C5" s="22" t="inlineStr">
        <is>
          <t>Optionne</t>
        </is>
      </c>
      <c r="D5" s="22" t="inlineStr">
        <is>
          <t>Reserve</t>
        </is>
      </c>
      <c r="E5" s="22" t="inlineStr">
        <is>
          <t>Vendu</t>
        </is>
      </c>
      <c r="F5" s="22" t="inlineStr">
        <is>
          <t>Bloque</t>
        </is>
      </c>
      <c r="G5" s="22" t="inlineStr">
        <is>
          <t>Total</t>
        </is>
      </c>
    </row>
    <row r="6">
      <c r="A6" s="23" t="inlineStr">
        <is>
          <t>A</t>
        </is>
      </c>
      <c r="B6" s="24">
        <f>COUNTIFS(Lots!$B$2:$B$91,"A",Lots!$Q$2:$Q$91,"Disponible")</f>
        <v/>
      </c>
      <c r="C6" s="25">
        <f>COUNTIFS(Lots!$B$2:$B$91,"A",Lots!$Q$2:$Q$91,"Optionne")</f>
        <v/>
      </c>
      <c r="D6" s="26">
        <f>COUNTIFS(Lots!$B$2:$B$91,"A",Lots!$Q$2:$Q$91,"Reserve")</f>
        <v/>
      </c>
      <c r="E6" s="27">
        <f>COUNTIFS(Lots!$B$2:$B$91,"A",Lots!$Q$2:$Q$91,"Vendu")</f>
        <v/>
      </c>
      <c r="F6" s="28">
        <f>COUNTIFS(Lots!$B$2:$B$91,"A",Lots!$Q$2:$Q$91,"Bloque")</f>
        <v/>
      </c>
      <c r="G6" s="29">
        <f>SUM(B6:F6)</f>
        <v/>
      </c>
    </row>
    <row r="7">
      <c r="A7" s="23" t="inlineStr">
        <is>
          <t>B</t>
        </is>
      </c>
      <c r="B7" s="24">
        <f>COUNTIFS(Lots!$B$2:$B$91,"B",Lots!$Q$2:$Q$91,"Disponible")</f>
        <v/>
      </c>
      <c r="C7" s="25">
        <f>COUNTIFS(Lots!$B$2:$B$91,"B",Lots!$Q$2:$Q$91,"Optionne")</f>
        <v/>
      </c>
      <c r="D7" s="26">
        <f>COUNTIFS(Lots!$B$2:$B$91,"B",Lots!$Q$2:$Q$91,"Reserve")</f>
        <v/>
      </c>
      <c r="E7" s="27">
        <f>COUNTIFS(Lots!$B$2:$B$91,"B",Lots!$Q$2:$Q$91,"Vendu")</f>
        <v/>
      </c>
      <c r="F7" s="28">
        <f>COUNTIFS(Lots!$B$2:$B$91,"B",Lots!$Q$2:$Q$91,"Bloque")</f>
        <v/>
      </c>
      <c r="G7" s="29">
        <f>SUM(B7:F7)</f>
        <v/>
      </c>
    </row>
    <row r="8">
      <c r="A8" s="23" t="inlineStr">
        <is>
          <t>C</t>
        </is>
      </c>
      <c r="B8" s="24">
        <f>COUNTIFS(Lots!$B$2:$B$91,"C",Lots!$Q$2:$Q$91,"Disponible")</f>
        <v/>
      </c>
      <c r="C8" s="25">
        <f>COUNTIFS(Lots!$B$2:$B$91,"C",Lots!$Q$2:$Q$91,"Optionne")</f>
        <v/>
      </c>
      <c r="D8" s="26">
        <f>COUNTIFS(Lots!$B$2:$B$91,"C",Lots!$Q$2:$Q$91,"Reserve")</f>
        <v/>
      </c>
      <c r="E8" s="27">
        <f>COUNTIFS(Lots!$B$2:$B$91,"C",Lots!$Q$2:$Q$91,"Vendu")</f>
        <v/>
      </c>
      <c r="F8" s="28">
        <f>COUNTIFS(Lots!$B$2:$B$91,"C",Lots!$Q$2:$Q$91,"Bloque")</f>
        <v/>
      </c>
      <c r="G8" s="29">
        <f>SUM(B8:F8)</f>
        <v/>
      </c>
    </row>
    <row r="10">
      <c r="A10" s="4" t="inlineStr">
        <is>
          <t>Par typologie</t>
        </is>
      </c>
    </row>
    <row r="11">
      <c r="A11" s="22" t="inlineStr"/>
      <c r="B11" s="22" t="inlineStr">
        <is>
          <t>Disponible</t>
        </is>
      </c>
      <c r="C11" s="22" t="inlineStr">
        <is>
          <t>Optionne</t>
        </is>
      </c>
      <c r="D11" s="22" t="inlineStr">
        <is>
          <t>Reserve</t>
        </is>
      </c>
      <c r="E11" s="22" t="inlineStr">
        <is>
          <t>Vendu</t>
        </is>
      </c>
      <c r="F11" s="22" t="inlineStr">
        <is>
          <t>Bloque</t>
        </is>
      </c>
      <c r="G11" s="22" t="inlineStr">
        <is>
          <t>Total</t>
        </is>
      </c>
    </row>
    <row r="12">
      <c r="A12" s="23" t="inlineStr">
        <is>
          <t>Studio</t>
        </is>
      </c>
      <c r="B12" s="24">
        <f>COUNTIFS(Lots!$E$2:$E$91,"Studio",Lots!$Q$2:$Q$91,"Disponible")</f>
        <v/>
      </c>
      <c r="C12" s="25">
        <f>COUNTIFS(Lots!$E$2:$E$91,"Studio",Lots!$Q$2:$Q$91,"Optionne")</f>
        <v/>
      </c>
      <c r="D12" s="26">
        <f>COUNTIFS(Lots!$E$2:$E$91,"Studio",Lots!$Q$2:$Q$91,"Reserve")</f>
        <v/>
      </c>
      <c r="E12" s="27">
        <f>COUNTIFS(Lots!$E$2:$E$91,"Studio",Lots!$Q$2:$Q$91,"Vendu")</f>
        <v/>
      </c>
      <c r="F12" s="28">
        <f>COUNTIFS(Lots!$E$2:$E$91,"Studio",Lots!$Q$2:$Q$91,"Bloque")</f>
        <v/>
      </c>
      <c r="G12" s="29">
        <f>SUM(B12:F12)</f>
        <v/>
      </c>
    </row>
    <row r="13">
      <c r="A13" s="23" t="inlineStr">
        <is>
          <t>F2</t>
        </is>
      </c>
      <c r="B13" s="24">
        <f>COUNTIFS(Lots!$E$2:$E$91,"F2",Lots!$Q$2:$Q$91,"Disponible")</f>
        <v/>
      </c>
      <c r="C13" s="25">
        <f>COUNTIFS(Lots!$E$2:$E$91,"F2",Lots!$Q$2:$Q$91,"Optionne")</f>
        <v/>
      </c>
      <c r="D13" s="26">
        <f>COUNTIFS(Lots!$E$2:$E$91,"F2",Lots!$Q$2:$Q$91,"Reserve")</f>
        <v/>
      </c>
      <c r="E13" s="27">
        <f>COUNTIFS(Lots!$E$2:$E$91,"F2",Lots!$Q$2:$Q$91,"Vendu")</f>
        <v/>
      </c>
      <c r="F13" s="28">
        <f>COUNTIFS(Lots!$E$2:$E$91,"F2",Lots!$Q$2:$Q$91,"Bloque")</f>
        <v/>
      </c>
      <c r="G13" s="29">
        <f>SUM(B13:F13)</f>
        <v/>
      </c>
    </row>
    <row r="14">
      <c r="A14" s="23" t="inlineStr">
        <is>
          <t>F3</t>
        </is>
      </c>
      <c r="B14" s="24">
        <f>COUNTIFS(Lots!$E$2:$E$91,"F3",Lots!$Q$2:$Q$91,"Disponible")</f>
        <v/>
      </c>
      <c r="C14" s="25">
        <f>COUNTIFS(Lots!$E$2:$E$91,"F3",Lots!$Q$2:$Q$91,"Optionne")</f>
        <v/>
      </c>
      <c r="D14" s="26">
        <f>COUNTIFS(Lots!$E$2:$E$91,"F3",Lots!$Q$2:$Q$91,"Reserve")</f>
        <v/>
      </c>
      <c r="E14" s="27">
        <f>COUNTIFS(Lots!$E$2:$E$91,"F3",Lots!$Q$2:$Q$91,"Vendu")</f>
        <v/>
      </c>
      <c r="F14" s="28">
        <f>COUNTIFS(Lots!$E$2:$E$91,"F3",Lots!$Q$2:$Q$91,"Bloque")</f>
        <v/>
      </c>
      <c r="G14" s="29">
        <f>SUM(B14:F14)</f>
        <v/>
      </c>
    </row>
    <row r="15">
      <c r="A15" s="23" t="inlineStr">
        <is>
          <t>F4</t>
        </is>
      </c>
      <c r="B15" s="24">
        <f>COUNTIFS(Lots!$E$2:$E$91,"F4",Lots!$Q$2:$Q$91,"Disponible")</f>
        <v/>
      </c>
      <c r="C15" s="25">
        <f>COUNTIFS(Lots!$E$2:$E$91,"F4",Lots!$Q$2:$Q$91,"Optionne")</f>
        <v/>
      </c>
      <c r="D15" s="26">
        <f>COUNTIFS(Lots!$E$2:$E$91,"F4",Lots!$Q$2:$Q$91,"Reserve")</f>
        <v/>
      </c>
      <c r="E15" s="27">
        <f>COUNTIFS(Lots!$E$2:$E$91,"F4",Lots!$Q$2:$Q$91,"Vendu")</f>
        <v/>
      </c>
      <c r="F15" s="28">
        <f>COUNTIFS(Lots!$E$2:$E$91,"F4",Lots!$Q$2:$Q$91,"Bloque")</f>
        <v/>
      </c>
      <c r="G15" s="29">
        <f>SUM(B15:F15)</f>
        <v/>
      </c>
    </row>
    <row r="16">
      <c r="A16" s="23" t="inlineStr">
        <is>
          <t>Duplex</t>
        </is>
      </c>
      <c r="B16" s="24">
        <f>COUNTIFS(Lots!$E$2:$E$91,"Duplex",Lots!$Q$2:$Q$91,"Disponible")</f>
        <v/>
      </c>
      <c r="C16" s="25">
        <f>COUNTIFS(Lots!$E$2:$E$91,"Duplex",Lots!$Q$2:$Q$91,"Optionne")</f>
        <v/>
      </c>
      <c r="D16" s="26">
        <f>COUNTIFS(Lots!$E$2:$E$91,"Duplex",Lots!$Q$2:$Q$91,"Reserve")</f>
        <v/>
      </c>
      <c r="E16" s="27">
        <f>COUNTIFS(Lots!$E$2:$E$91,"Duplex",Lots!$Q$2:$Q$91,"Vendu")</f>
        <v/>
      </c>
      <c r="F16" s="28">
        <f>COUNTIFS(Lots!$E$2:$E$91,"Duplex",Lots!$Q$2:$Q$91,"Bloque")</f>
        <v/>
      </c>
      <c r="G16" s="29">
        <f>SUM(B16:F16)</f>
        <v/>
      </c>
    </row>
    <row r="17">
      <c r="A17" s="23" t="inlineStr">
        <is>
          <t>Bureau</t>
        </is>
      </c>
      <c r="B17" s="24">
        <f>COUNTIFS(Lots!$E$2:$E$91,"Bureau",Lots!$Q$2:$Q$91,"Disponible")</f>
        <v/>
      </c>
      <c r="C17" s="25">
        <f>COUNTIFS(Lots!$E$2:$E$91,"Bureau",Lots!$Q$2:$Q$91,"Optionne")</f>
        <v/>
      </c>
      <c r="D17" s="26">
        <f>COUNTIFS(Lots!$E$2:$E$91,"Bureau",Lots!$Q$2:$Q$91,"Reserve")</f>
        <v/>
      </c>
      <c r="E17" s="27">
        <f>COUNTIFS(Lots!$E$2:$E$91,"Bureau",Lots!$Q$2:$Q$91,"Vendu")</f>
        <v/>
      </c>
      <c r="F17" s="28">
        <f>COUNTIFS(Lots!$E$2:$E$91,"Bureau",Lots!$Q$2:$Q$91,"Bloque")</f>
        <v/>
      </c>
      <c r="G17" s="29">
        <f>SUM(B17:F17)</f>
        <v/>
      </c>
    </row>
    <row r="18">
      <c r="A18" s="23" t="inlineStr">
        <is>
          <t>Commerce</t>
        </is>
      </c>
      <c r="B18" s="24">
        <f>COUNTIFS(Lots!$E$2:$E$91,"Commerce",Lots!$Q$2:$Q$91,"Disponible")</f>
        <v/>
      </c>
      <c r="C18" s="25">
        <f>COUNTIFS(Lots!$E$2:$E$91,"Commerce",Lots!$Q$2:$Q$91,"Optionne")</f>
        <v/>
      </c>
      <c r="D18" s="26">
        <f>COUNTIFS(Lots!$E$2:$E$91,"Commerce",Lots!$Q$2:$Q$91,"Reserve")</f>
        <v/>
      </c>
      <c r="E18" s="27">
        <f>COUNTIFS(Lots!$E$2:$E$91,"Commerce",Lots!$Q$2:$Q$91,"Vendu")</f>
        <v/>
      </c>
      <c r="F18" s="28">
        <f>COUNTIFS(Lots!$E$2:$E$91,"Commerce",Lots!$Q$2:$Q$91,"Bloque")</f>
        <v/>
      </c>
      <c r="G18" s="29">
        <f>SUM(B18:F18)</f>
        <v/>
      </c>
    </row>
    <row r="20">
      <c r="A20" s="4" t="inlineStr">
        <is>
          <t>Par orientation</t>
        </is>
      </c>
    </row>
    <row r="21">
      <c r="A21" s="22" t="inlineStr"/>
      <c r="B21" s="22" t="inlineStr">
        <is>
          <t>Disponible</t>
        </is>
      </c>
      <c r="C21" s="22" t="inlineStr">
        <is>
          <t>Optionne</t>
        </is>
      </c>
      <c r="D21" s="22" t="inlineStr">
        <is>
          <t>Reserve</t>
        </is>
      </c>
      <c r="E21" s="22" t="inlineStr">
        <is>
          <t>Vendu</t>
        </is>
      </c>
      <c r="F21" s="22" t="inlineStr">
        <is>
          <t>Bloque</t>
        </is>
      </c>
      <c r="G21" s="22" t="inlineStr">
        <is>
          <t>Total</t>
        </is>
      </c>
    </row>
    <row r="22">
      <c r="A22" s="23" t="inlineStr">
        <is>
          <t>Rue</t>
        </is>
      </c>
      <c r="B22" s="24">
        <f>COUNTIFS(Lots!$K$2:$K$91,"Rue",Lots!$Q$2:$Q$91,"Disponible")</f>
        <v/>
      </c>
      <c r="C22" s="25">
        <f>COUNTIFS(Lots!$K$2:$K$91,"Rue",Lots!$Q$2:$Q$91,"Optionne")</f>
        <v/>
      </c>
      <c r="D22" s="26">
        <f>COUNTIFS(Lots!$K$2:$K$91,"Rue",Lots!$Q$2:$Q$91,"Reserve")</f>
        <v/>
      </c>
      <c r="E22" s="27">
        <f>COUNTIFS(Lots!$K$2:$K$91,"Rue",Lots!$Q$2:$Q$91,"Vendu")</f>
        <v/>
      </c>
      <c r="F22" s="28">
        <f>COUNTIFS(Lots!$K$2:$K$91,"Rue",Lots!$Q$2:$Q$91,"Bloque")</f>
        <v/>
      </c>
      <c r="G22" s="29">
        <f>SUM(B22:F22)</f>
        <v/>
      </c>
    </row>
    <row r="23">
      <c r="A23" s="23" t="inlineStr">
        <is>
          <t>Cour</t>
        </is>
      </c>
      <c r="B23" s="24">
        <f>COUNTIFS(Lots!$K$2:$K$91,"Cour",Lots!$Q$2:$Q$91,"Disponible")</f>
        <v/>
      </c>
      <c r="C23" s="25">
        <f>COUNTIFS(Lots!$K$2:$K$91,"Cour",Lots!$Q$2:$Q$91,"Optionne")</f>
        <v/>
      </c>
      <c r="D23" s="26">
        <f>COUNTIFS(Lots!$K$2:$K$91,"Cour",Lots!$Q$2:$Q$91,"Reserve")</f>
        <v/>
      </c>
      <c r="E23" s="27">
        <f>COUNTIFS(Lots!$K$2:$K$91,"Cour",Lots!$Q$2:$Q$91,"Vendu")</f>
        <v/>
      </c>
      <c r="F23" s="28">
        <f>COUNTIFS(Lots!$K$2:$K$91,"Cour",Lots!$Q$2:$Q$91,"Bloque")</f>
        <v/>
      </c>
      <c r="G23" s="29">
        <f>SUM(B23:F23)</f>
        <v/>
      </c>
    </row>
    <row r="24">
      <c r="A24" s="23" t="inlineStr">
        <is>
          <t>Jardin</t>
        </is>
      </c>
      <c r="B24" s="24">
        <f>COUNTIFS(Lots!$K$2:$K$91,"Jardin",Lots!$Q$2:$Q$91,"Disponible")</f>
        <v/>
      </c>
      <c r="C24" s="25">
        <f>COUNTIFS(Lots!$K$2:$K$91,"Jardin",Lots!$Q$2:$Q$91,"Optionne")</f>
        <v/>
      </c>
      <c r="D24" s="26">
        <f>COUNTIFS(Lots!$K$2:$K$91,"Jardin",Lots!$Q$2:$Q$91,"Reserve")</f>
        <v/>
      </c>
      <c r="E24" s="27">
        <f>COUNTIFS(Lots!$K$2:$K$91,"Jardin",Lots!$Q$2:$Q$91,"Vendu")</f>
        <v/>
      </c>
      <c r="F24" s="28">
        <f>COUNTIFS(Lots!$K$2:$K$91,"Jardin",Lots!$Q$2:$Q$91,"Bloque")</f>
        <v/>
      </c>
      <c r="G24" s="29">
        <f>SUM(B24:F24)</f>
        <v/>
      </c>
    </row>
    <row r="25">
      <c r="A25" s="23" t="inlineStr">
        <is>
          <t>Double orientation</t>
        </is>
      </c>
      <c r="B25" s="24">
        <f>COUNTIFS(Lots!$K$2:$K$91,"Double orientation",Lots!$Q$2:$Q$91,"Disponible")</f>
        <v/>
      </c>
      <c r="C25" s="25">
        <f>COUNTIFS(Lots!$K$2:$K$91,"Double orientation",Lots!$Q$2:$Q$91,"Optionne")</f>
        <v/>
      </c>
      <c r="D25" s="26">
        <f>COUNTIFS(Lots!$K$2:$K$91,"Double orientation",Lots!$Q$2:$Q$91,"Reserve")</f>
        <v/>
      </c>
      <c r="E25" s="27">
        <f>COUNTIFS(Lots!$K$2:$K$91,"Double orientation",Lots!$Q$2:$Q$91,"Vendu")</f>
        <v/>
      </c>
      <c r="F25" s="28">
        <f>COUNTIFS(Lots!$K$2:$K$91,"Double orientation",Lots!$Q$2:$Q$91,"Bloque")</f>
        <v/>
      </c>
      <c r="G25" s="29">
        <f>SUM(B25:F25)</f>
        <v/>
      </c>
    </row>
    <row r="26">
      <c r="A26" s="23" t="inlineStr">
        <is>
          <t>Angle</t>
        </is>
      </c>
      <c r="B26" s="24">
        <f>COUNTIFS(Lots!$K$2:$K$91,"Angle",Lots!$Q$2:$Q$91,"Disponible")</f>
        <v/>
      </c>
      <c r="C26" s="25">
        <f>COUNTIFS(Lots!$K$2:$K$91,"Angle",Lots!$Q$2:$Q$91,"Optionne")</f>
        <v/>
      </c>
      <c r="D26" s="26">
        <f>COUNTIFS(Lots!$K$2:$K$91,"Angle",Lots!$Q$2:$Q$91,"Reserve")</f>
        <v/>
      </c>
      <c r="E26" s="27">
        <f>COUNTIFS(Lots!$K$2:$K$91,"Angle",Lots!$Q$2:$Q$91,"Vendu")</f>
        <v/>
      </c>
      <c r="F26" s="28">
        <f>COUNTIFS(Lots!$K$2:$K$91,"Angle",Lots!$Q$2:$Q$91,"Bloque")</f>
        <v/>
      </c>
      <c r="G26" s="29">
        <f>SUM(B26:F26)</f>
        <v/>
      </c>
    </row>
    <row r="28">
      <c r="A28" s="4" t="inlineStr">
        <is>
          <t>Chiffre d'affaires</t>
        </is>
      </c>
    </row>
    <row r="29">
      <c r="A29" s="23" t="inlineStr">
        <is>
          <t>Total du programme</t>
        </is>
      </c>
      <c r="B29" s="30">
        <f>SUM(Lots!$O$2:$O$91)</f>
        <v/>
      </c>
      <c r="C29" s="31" t="n"/>
    </row>
    <row r="30">
      <c r="A30" s="23" t="inlineStr">
        <is>
          <t>Signe (vendu)</t>
        </is>
      </c>
      <c r="B30" s="30">
        <f>SUMIFS(Lots!$O$2:$O$91,Lots!$Q$2:$Q$91,"Vendu")</f>
        <v/>
      </c>
      <c r="C30" s="31" t="n"/>
    </row>
    <row r="31">
      <c r="A31" s="23" t="inlineStr">
        <is>
          <t>Engage (reserve + optionne)</t>
        </is>
      </c>
      <c r="B31" s="30">
        <f>SUMIFS(Lots!$O$2:$O$91,Lots!$Q$2:$Q$91,"Reserve")+SUMIFS(Lots!$O$2:$O$91,Lots!$Q$2:$Q$91,"Optionne")</f>
        <v/>
      </c>
      <c r="C31" s="31" t="n"/>
    </row>
    <row r="32">
      <c r="A32" s="23" t="inlineStr">
        <is>
          <t>Restant a vendre</t>
        </is>
      </c>
      <c r="B32" s="30">
        <f>SUMIFS(Lots!$O$2:$O$91,Lots!$Q$2:$Q$91,"Disponible")</f>
        <v/>
      </c>
      <c r="C32" s="31" t="n"/>
    </row>
    <row r="33">
      <c r="A33" s="23" t="inlineStr">
        <is>
          <t>Prix moyen au m2</t>
        </is>
      </c>
      <c r="B33" s="30">
        <f>IFERROR(SUM(Lots!$O$2:$O$91)/SUM(Lots!$F$2:$F$91),"")</f>
        <v/>
      </c>
      <c r="C33" s="31" t="n"/>
    </row>
    <row r="34">
      <c r="A34" s="23" t="inlineStr">
        <is>
          <t>Surface totale (m2)</t>
        </is>
      </c>
      <c r="B34" s="32">
        <f>SUM(Lots!$F$2:$F$91)</f>
        <v/>
      </c>
      <c r="C34" s="31" t="n"/>
    </row>
  </sheetData>
  <mergeCells count="7">
    <mergeCell ref="B30:C30"/>
    <mergeCell ref="A1:G1"/>
    <mergeCell ref="B29:C29"/>
    <mergeCell ref="B33:C33"/>
    <mergeCell ref="B34:C34"/>
    <mergeCell ref="B32:C32"/>
    <mergeCell ref="B31:C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Valeurs autorisees dans les listes deroulantes de l'onglet Lots</t>
        </is>
      </c>
    </row>
    <row r="3">
      <c r="A3" s="22" t="inlineStr">
        <is>
          <t>typologie</t>
        </is>
      </c>
      <c r="B3" s="22" t="inlineStr">
        <is>
          <t>orientation</t>
        </is>
      </c>
      <c r="C3" s="22" t="inlineStr">
        <is>
          <t>exposition</t>
        </is>
      </c>
      <c r="D3" s="22" t="inlineStr">
        <is>
          <t>statut</t>
        </is>
      </c>
      <c r="E3" s="22" t="inlineStr">
        <is>
          <t>ascenseur</t>
        </is>
      </c>
      <c r="F3" s="22" t="inlineStr">
        <is>
          <t>parking</t>
        </is>
      </c>
      <c r="G3" s="22" t="inlineStr">
        <is>
          <t>niveau</t>
        </is>
      </c>
      <c r="H3" s="22" t="inlineStr">
        <is>
          <t>immeuble</t>
        </is>
      </c>
    </row>
    <row r="4">
      <c r="A4" s="33" t="inlineStr">
        <is>
          <t>Studio</t>
        </is>
      </c>
      <c r="B4" s="33" t="inlineStr">
        <is>
          <t>Rue</t>
        </is>
      </c>
      <c r="C4" s="33" t="inlineStr">
        <is>
          <t>Nord</t>
        </is>
      </c>
      <c r="D4" s="33" t="inlineStr">
        <is>
          <t>Disponible</t>
        </is>
      </c>
      <c r="E4" s="33" t="inlineStr">
        <is>
          <t>Oui</t>
        </is>
      </c>
      <c r="F4" s="33" t="inlineStr">
        <is>
          <t>Aucun</t>
        </is>
      </c>
      <c r="G4" s="33" t="inlineStr">
        <is>
          <t>RDC</t>
        </is>
      </c>
      <c r="H4" s="33" t="inlineStr">
        <is>
          <t>A</t>
        </is>
      </c>
    </row>
    <row r="5">
      <c r="A5" s="33" t="inlineStr">
        <is>
          <t>F2</t>
        </is>
      </c>
      <c r="B5" s="33" t="inlineStr">
        <is>
          <t>Cour</t>
        </is>
      </c>
      <c r="C5" s="33" t="inlineStr">
        <is>
          <t>Nord-Est</t>
        </is>
      </c>
      <c r="D5" s="33" t="inlineStr">
        <is>
          <t>Optionne</t>
        </is>
      </c>
      <c r="E5" s="33" t="inlineStr">
        <is>
          <t>Non</t>
        </is>
      </c>
      <c r="F5" s="33" t="inlineStr">
        <is>
          <t>Sous-sol</t>
        </is>
      </c>
      <c r="G5" s="33" t="inlineStr">
        <is>
          <t>1</t>
        </is>
      </c>
      <c r="H5" s="33" t="inlineStr">
        <is>
          <t>B</t>
        </is>
      </c>
    </row>
    <row r="6">
      <c r="A6" s="33" t="inlineStr">
        <is>
          <t>F3</t>
        </is>
      </c>
      <c r="B6" s="33" t="inlineStr">
        <is>
          <t>Jardin</t>
        </is>
      </c>
      <c r="C6" s="33" t="inlineStr">
        <is>
          <t>Est</t>
        </is>
      </c>
      <c r="D6" s="33" t="inlineStr">
        <is>
          <t>Reserve</t>
        </is>
      </c>
      <c r="F6" s="33" t="inlineStr">
        <is>
          <t>Exterieur</t>
        </is>
      </c>
      <c r="G6" s="33" t="inlineStr">
        <is>
          <t>2</t>
        </is>
      </c>
      <c r="H6" s="33" t="inlineStr">
        <is>
          <t>C</t>
        </is>
      </c>
    </row>
    <row r="7">
      <c r="A7" s="33" t="inlineStr">
        <is>
          <t>F4</t>
        </is>
      </c>
      <c r="B7" s="33" t="inlineStr">
        <is>
          <t>Double orientation</t>
        </is>
      </c>
      <c r="C7" s="33" t="inlineStr">
        <is>
          <t>Sud-Est</t>
        </is>
      </c>
      <c r="D7" s="33" t="inlineStr">
        <is>
          <t>Vendu</t>
        </is>
      </c>
      <c r="F7" s="33" t="inlineStr">
        <is>
          <t>Box</t>
        </is>
      </c>
      <c r="G7" s="33" t="inlineStr">
        <is>
          <t>3</t>
        </is>
      </c>
    </row>
    <row r="8">
      <c r="A8" s="33" t="inlineStr">
        <is>
          <t>F5</t>
        </is>
      </c>
      <c r="B8" s="33" t="inlineStr">
        <is>
          <t>Angle</t>
        </is>
      </c>
      <c r="C8" s="33" t="inlineStr">
        <is>
          <t>Sud</t>
        </is>
      </c>
      <c r="D8" s="33" t="inlineStr">
        <is>
          <t>Bloque</t>
        </is>
      </c>
      <c r="G8" s="33" t="inlineStr">
        <is>
          <t>4</t>
        </is>
      </c>
    </row>
    <row r="9">
      <c r="A9" s="33" t="inlineStr">
        <is>
          <t>Duplex</t>
        </is>
      </c>
      <c r="C9" s="33" t="inlineStr">
        <is>
          <t>Sud-Ouest</t>
        </is>
      </c>
    </row>
    <row r="10">
      <c r="A10" s="33" t="inlineStr">
        <is>
          <t>Bureau</t>
        </is>
      </c>
      <c r="C10" s="33" t="inlineStr">
        <is>
          <t>Ouest</t>
        </is>
      </c>
    </row>
    <row r="11">
      <c r="A11" s="33" t="inlineStr">
        <is>
          <t>Commerce</t>
        </is>
      </c>
      <c r="C11" s="33" t="inlineStr">
        <is>
          <t>Nord-Ouest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2026-08-02T11:02:04Z</dcterms:created>
  <dcterms:modified xsi:type="dcterms:W3CDTF">2026-08-02T11:02:04Z</dcterms:modified>
</cp:coreProperties>
</file>